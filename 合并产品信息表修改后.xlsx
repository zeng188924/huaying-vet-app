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 activeTab="2"/>
  </bookViews>
  <sheets>
    <sheet name="底价目录_20260112" sheetId="1" r:id="rId1"/>
    <sheet name="明星产品_20260512" sheetId="2" r:id="rId2"/>
    <sheet name="产品信息_华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<sst xmlns="http://schemas.openxmlformats.org/spreadsheetml/2006/main" count="1003" uniqueCount="417">
  <si>
    <t>序号</t>
  </si>
  <si>
    <t>品名</t>
  </si>
  <si>
    <t>含量</t>
  </si>
  <si>
    <t>规格型号</t>
  </si>
  <si>
    <t>兑水量</t>
  </si>
  <si>
    <t>单价        元/袋/瓶</t>
  </si>
  <si>
    <t>备注</t>
  </si>
  <si>
    <t>氟苯尼考粉</t>
  </si>
  <si>
    <t>500g/袋*20袋/箱</t>
  </si>
  <si>
    <t>2000斤</t>
  </si>
  <si>
    <t>100g/袋*100袋/箱</t>
  </si>
  <si>
    <t>400斤</t>
  </si>
  <si>
    <t/>
  </si>
  <si>
    <t>盐酸多西环素可溶性粉</t>
  </si>
  <si>
    <t>4000斤</t>
  </si>
  <si>
    <t>800斤</t>
  </si>
  <si>
    <t>卡巴匹林钙粉</t>
  </si>
  <si>
    <t>阿莫西林可溶性粉</t>
  </si>
  <si>
    <t>4500斤</t>
  </si>
  <si>
    <t>900斤</t>
  </si>
  <si>
    <t>硫酸黏菌素预混剂1000g</t>
  </si>
  <si>
    <t>100g：20g</t>
  </si>
  <si>
    <t xml:space="preserve">1000g/袋*10袋/箱   </t>
  </si>
  <si>
    <t xml:space="preserve">8000斤 </t>
  </si>
  <si>
    <t>硫酸黏菌素预混剂500g</t>
  </si>
  <si>
    <t>硫酸新霉素可溶性粉</t>
  </si>
  <si>
    <t>盐酸恩诺沙星可溶性粉</t>
  </si>
  <si>
    <t>100g：30g</t>
  </si>
  <si>
    <t>2500斤</t>
  </si>
  <si>
    <t>/</t>
  </si>
  <si>
    <t>硫酸庆大霉素可溶性粉</t>
  </si>
  <si>
    <t>100g：5g</t>
  </si>
  <si>
    <t>1000g/袋*10袋/箱</t>
  </si>
  <si>
    <t>盐酸林可霉素可溶性粉</t>
  </si>
  <si>
    <t>1500斤</t>
  </si>
  <si>
    <t>150斤</t>
  </si>
  <si>
    <t>地美硝唑预混剂</t>
  </si>
  <si>
    <t>单硫酸卡那霉素可溶性粉</t>
  </si>
  <si>
    <t>替米考星溶液</t>
  </si>
  <si>
    <t>250ml/瓶*40瓶/箱</t>
  </si>
  <si>
    <t>1800斤</t>
  </si>
  <si>
    <t>100ml/瓶*40瓶/箱</t>
  </si>
  <si>
    <t>700斤</t>
  </si>
  <si>
    <t>硫酸安普霉素可溶性粉</t>
  </si>
  <si>
    <t>500斤</t>
  </si>
  <si>
    <t>替米考星预混剂</t>
  </si>
  <si>
    <t>复方磺胺间甲氧嘧啶钠可溶性粉（毒性大不宜过量用）</t>
  </si>
  <si>
    <t>100g:20g+4g</t>
  </si>
  <si>
    <t>酒石酸泰万菌素预混剂</t>
  </si>
  <si>
    <t>100g：50g</t>
  </si>
  <si>
    <t>100g/袋*50袋/箱</t>
  </si>
  <si>
    <t>磺胺喹噁啉钠可溶性粉（去球虫病）</t>
  </si>
  <si>
    <t>300斤</t>
  </si>
  <si>
    <t>磺胺氯吡嗪钠可溶性粉（去球虫病）</t>
  </si>
  <si>
    <t>30%氟苯尼考可溶性粉</t>
  </si>
  <si>
    <t>600斤</t>
  </si>
  <si>
    <t>10%盐酸多西环素可溶性粉</t>
  </si>
  <si>
    <t>80%延胡索酸泰妙菌素（呼吸道）</t>
  </si>
  <si>
    <t>1000斤</t>
  </si>
  <si>
    <t>备注  1.2026年1月13日起，执行此价格。
      2.该价格会随原料价格变动而变化，无特殊情况，有效期为10天（报货请提前与内勤核实当前价格）。
      3.该价格为底价，不含税，必须先款后货。
      4.底价产品均不抵任务量，运费需客户自行承担。
      5.以上单产品一次性发货30件（100ml替米考星溶液50件），可单独向公司申请核算价格。
      6.底价产品相关信息最终解释权为公司所有。</t>
  </si>
  <si>
    <t>商品名</t>
  </si>
  <si>
    <t>产品名称</t>
  </si>
  <si>
    <t>经销商单价</t>
  </si>
  <si>
    <t>政策</t>
  </si>
  <si>
    <t>浆小白(水禽)</t>
  </si>
  <si>
    <t>一次性5赠1，签年任务加赠1</t>
  </si>
  <si>
    <t>控孤</t>
  </si>
  <si>
    <t>混合型饲料添加剂L-抗坏血酸</t>
  </si>
  <si>
    <t>5g/瓶*80瓶/箱</t>
  </si>
  <si>
    <t>裸价(签年任务10赠1） 经销商销售价25元每瓶</t>
  </si>
  <si>
    <t>抚风</t>
  </si>
  <si>
    <t>混合型饲料添加剂牛磺酸</t>
  </si>
  <si>
    <t>6g/瓶*80瓶/箱</t>
  </si>
  <si>
    <t>经销商10赠2，具体市场问侯凤群是否可做</t>
  </si>
  <si>
    <t>浆小白(清解合剂)</t>
  </si>
  <si>
    <t>一次性5赠1，签年任务加赠10%货</t>
  </si>
  <si>
    <t>海健素</t>
  </si>
  <si>
    <t>黄芪多糖口服液(β防御素、干扰素β、γ）</t>
  </si>
  <si>
    <t>10ml/瓶*10瓶/盒*11盒/箱</t>
  </si>
  <si>
    <t>（中药）金舒利（小柴胡）500g</t>
  </si>
  <si>
    <t>混合型饲料添加剂 牛磺酸</t>
  </si>
  <si>
    <t>经销商10赠1，签年任务加10赠1</t>
  </si>
  <si>
    <t>（中药）金舒利（小柴胡）100g</t>
  </si>
  <si>
    <t>经销商10赠1，签年任务赠10%货(终端价不低于13)</t>
  </si>
  <si>
    <t>严立康</t>
  </si>
  <si>
    <t>盐酸大观霉素盐酸林可霉素可溶性粉</t>
  </si>
  <si>
    <t>20g/瓶*40瓶/箱</t>
  </si>
  <si>
    <t>经销商10赠1，签年任务加赠10%货(底价产品除外)</t>
  </si>
  <si>
    <t>超吉拍档</t>
  </si>
  <si>
    <t>新达罗</t>
  </si>
  <si>
    <t>菲清</t>
  </si>
  <si>
    <t>液态甘草鱼腥草粗提物(复配型)</t>
  </si>
  <si>
    <t>1000ml/瓶*15瓶/箱</t>
  </si>
  <si>
    <t>热感清100ml</t>
  </si>
  <si>
    <t>鱼腥草提取液</t>
  </si>
  <si>
    <t>热感清250ml</t>
  </si>
  <si>
    <t>肽芪剑（蛋鸡）</t>
  </si>
  <si>
    <t>液态低聚壳聚糖</t>
  </si>
  <si>
    <t>卡迪欧100ml</t>
  </si>
  <si>
    <t>鸡传染性法氏囊病精制蛋黄抗体</t>
  </si>
  <si>
    <t>经销商10赠，签年任务加赠10%货(底价产品除外)</t>
  </si>
  <si>
    <t>卡迪欧250ml</t>
  </si>
  <si>
    <t>甘舒乐</t>
  </si>
  <si>
    <t>甘露寡糖</t>
  </si>
  <si>
    <t>1000g/袋*20袋/箱</t>
  </si>
  <si>
    <t>（中药）温炎消</t>
  </si>
  <si>
    <t>混合型饲料添加剂液态牛磺酸</t>
  </si>
  <si>
    <t>500m/瓶*30瓶/箱</t>
  </si>
  <si>
    <t>（中药）双胃康</t>
  </si>
  <si>
    <t>液态苍术木香粗提物(复配型)</t>
  </si>
  <si>
    <t>经销商10赠1，签年任务加赠10%货(底价产品除外</t>
  </si>
  <si>
    <t>（中药）羡康100g</t>
  </si>
  <si>
    <t>天然植物饲料原料、干姜粗提物</t>
  </si>
  <si>
    <t>（中药）羡康500g</t>
  </si>
  <si>
    <t>（中药）畅健</t>
  </si>
  <si>
    <t>混合型饲料添加剂液态甘露寡糖</t>
  </si>
  <si>
    <t>500ml/瓶*30瓶/箱</t>
  </si>
  <si>
    <t>年销量过30万签年任务客户可单独申请</t>
  </si>
  <si>
    <t>类别</t>
  </si>
  <si>
    <t>时 机</t>
  </si>
  <si>
    <t>包装规格</t>
  </si>
  <si>
    <t>适应症状或产品功效</t>
  </si>
  <si>
    <t>用法用量</t>
  </si>
  <si>
    <t>价 格</t>
  </si>
  <si>
    <t>建议零售价</t>
  </si>
  <si>
    <t>特色类产品</t>
  </si>
  <si>
    <t>既可预防亦可治疗</t>
  </si>
  <si>
    <t>严立康®</t>
  </si>
  <si>
    <t>1、病毒病打针配合本品可防控气囊炎、腹膜炎、心包炎、肝周炎。2、1日龄注射，可净化母源垂直传播的白痢、大肠杆菌、支原体（滑液囊支原体）等。3、配合油苗使用可以有效防控呼吸道、支原体（滑液囊支原体）和大肠杆菌的发生。</t>
  </si>
  <si>
    <t>1、1日龄肉鸡，净化母源垂直传播的白痢、大肠杆菌、支原体等。本品用稀释液稀释与疫苗混合均匀，注射3000-4000羽；2、7日龄肉鸡，本品配合疫苗使用，控制免疫应激导致的继发感染，每瓶注射 1500-2000羽（；3、治疗滑液囊支原体和细菌性疾病每瓶注射300公斤体重。（推荐：本品 1瓶稀释液 100ml可稀释3瓶严立康®）</t>
  </si>
  <si>
    <t>注射300公斤体重</t>
  </si>
  <si>
    <t>微生态</t>
  </si>
  <si>
    <t>1用于禽顽固性大肠杆菌、沙门氏菌、鸭疫里默氏杆菌等引起的细菌感染及滑液囊支原体感染；</t>
  </si>
  <si>
    <t>混饮：每瓶兑水150kg，连用3~5日；
注射：禽：每瓶按600-800kg体重；猪、牛、羊、每瓶按800-1000kg体重。</t>
  </si>
  <si>
    <t>注射600公斤体重</t>
  </si>
  <si>
    <t>无抗高效广谱抑菌口服液</t>
  </si>
  <si>
    <t>1、高效抑制大肠杆菌、沙门氏菌、鸭疫里默氏杆菌、巴氏杆菌、魏氏梭菌等动物致病菌。
2、作为抗原活性物质，激活免疫系统，解除免疫抑制。
3、平衡肠道有益菌群，利于动物生长，提高饲料利用率。</t>
  </si>
  <si>
    <t>本品500ml/瓶兑水800斤，全天量集中饮用6-7小时，连用3-5天。</t>
  </si>
  <si>
    <t>气管栓塞呼吸道药</t>
  </si>
  <si>
    <t>发病期间治疗使用</t>
  </si>
  <si>
    <t>液态甘草鱼腥草粗提物（复配型）</t>
  </si>
  <si>
    <t>针对流感、传支等病毒病及其他原因引起的黑肺、支气管栓塞、肺部栓塞、怪叫、呼噜等症状效果显著。</t>
  </si>
  <si>
    <t>本品每瓶1000ml兑水2000斤，全天量集中饮用6-8小时，连用4天。</t>
  </si>
  <si>
    <t>奇美诺250ml</t>
  </si>
  <si>
    <t>桑仁清肺口服液</t>
  </si>
  <si>
    <t>各种原因引起的肺部发黑、淤血、支气管栓塞、怪叫、呼噜、伸颈喘、气管透明、喉头出血。</t>
  </si>
  <si>
    <t>兑水400斤,饮用6-8小时，连用4天。</t>
  </si>
  <si>
    <t>奇美诺500ml</t>
  </si>
  <si>
    <t>本品500ml/瓶兑水 800斤，全天量集中 6-8小时饮完，连用 4天。</t>
  </si>
  <si>
    <t>麻杏石甘口服液</t>
  </si>
  <si>
    <t>呼噜、咳嗽、甩鼻、张口喘气、气管啰音、眼内有气泡、肿头、肿脸。</t>
  </si>
  <si>
    <t>每瓶500ml兑水1000斤，治疗兑水600斤，连用4天，饮用6-7小时。</t>
  </si>
  <si>
    <t>Z-益欣康</t>
  </si>
  <si>
    <t>混合型饲料添加剂 葡萄糖氧化酶</t>
  </si>
  <si>
    <t>500g/袋*30袋/箱</t>
  </si>
  <si>
    <t>对肺粉红色支气管栓塞、怪叫、肾脏肿胀、发白有特效</t>
  </si>
  <si>
    <t>本品500g兑水600斤，饮用8小时，连用3天</t>
  </si>
  <si>
    <t>气囊炎类产品</t>
  </si>
  <si>
    <t>欧贝芬</t>
  </si>
  <si>
    <t>1、大肠杆菌、支原体等混合感染引起的气囊炎、腹膜炎、心包炎。2、流感继发感染引起的气囊炎、腹膜炎、心包炎。</t>
  </si>
  <si>
    <t>本品500g/袋兑水1000斤，全天量集中饮用8小时，连用4天。</t>
  </si>
  <si>
    <t>康必达</t>
  </si>
  <si>
    <t>盐酸金霉素可溶性粉</t>
  </si>
  <si>
    <t>防治大肠杆菌等细菌疾病以及支原体、立克次体、衣原体引起的气囊炎、腹膜炎、心包炎、肠炎和呼吸道疾病如呼噜、咳嗽、甩鼻、眼睛有泡沫等症状。</t>
  </si>
  <si>
    <t>本品500g兑水1500斤，全天量集中饮用7-8小时，连用4-5天。</t>
  </si>
  <si>
    <t>乎必志</t>
  </si>
  <si>
    <t>20%酒石酸泰万菌素预混剂</t>
  </si>
  <si>
    <t>100g/袋*25袋/箱</t>
  </si>
  <si>
    <t>1.滑液囊支原体使用。2.用于支原体引起的呼吸道的治疗，症见吭哧、甩鼻、眼睛有泡沫、气管有清痰，气囊浑浊或有黄色干酪样渗出等。</t>
  </si>
  <si>
    <t>本品每袋 100g兑水 800斤，全天量集中饮用 8小时，连用 3-4天。</t>
  </si>
  <si>
    <t>抗支原体药</t>
  </si>
  <si>
    <t>发病期间疗治使用</t>
  </si>
  <si>
    <t>用于治疗家禽支原体感染引起的呼吸道疾病。</t>
  </si>
  <si>
    <t>混饮：本品100mL兑水300斤，全天量集中饮用7小时，连用3-5天</t>
  </si>
  <si>
    <t>裸价</t>
  </si>
  <si>
    <t>10%氟苯尼考溶液</t>
  </si>
  <si>
    <t>沙门氏菌引起的鸡伤寒、副伤寒、鸡白痢和鸡霍乱、大肠杆菌病以及鸭传染性浆膜炎等。</t>
  </si>
  <si>
    <t>100ml兑水300斤，全天量集中5小时饮完，连用4天。</t>
  </si>
  <si>
    <t>10%阿莫西林可溶性粉</t>
  </si>
  <si>
    <t>1、本品能促进卵黄吸收，开口使用可以促进家禽的成活率。2、本品对于腺胃炎、肠炎等引发的腺胃、肠道肿胀有很好的预防和治疗效果。3、本品对魏氏梭菌等引发的肠道增粗、发黑、粪便发黑等引发的鸡只死亡有很好的效果。</t>
  </si>
  <si>
    <t>混饮：本品100g兑水200斤，全天量集中8小时饮完，连用4天。</t>
  </si>
  <si>
    <t>200斤</t>
  </si>
  <si>
    <t>复方阿莫西林粉</t>
  </si>
  <si>
    <t>500g/袋*10袋/箱</t>
  </si>
  <si>
    <t>防治大肠杆菌、沙门氏菌等多种敏感菌引起的输卵管炎、卵巢炎导致的产蛋下降，减少血斑蛋、沙壳蛋、薄壳蛋、褪色蛋、畸形蛋、脱肛等病症，防治初产蛋鸡应激性腹泻，魏氏梭菌等引发的坏死性肠炎等疾病。</t>
  </si>
  <si>
    <t>本品500g/袋兑水3000斤，全天量集中3-4小时饮完，连用3天。</t>
  </si>
  <si>
    <t>杆 福</t>
  </si>
  <si>
    <t>5%盐酸沙拉沙星溶液</t>
  </si>
  <si>
    <t>细菌类：浆膜炎、大肠杆菌病、沙门氏菌病、传鼻、巴氏杆菌病。  支原体：支原体继发的气囊炎、滑液囊支原体。</t>
  </si>
  <si>
    <t>1、育雏开口：净化母源垂直传播的白痢、大肠杆菌、支原体等，2500只 /瓶。
2、治疗大肠杆菌病、气囊炎、浆膜炎、滑液囊支原体：200斤水 /瓶。</t>
  </si>
  <si>
    <t>恩诺沙星溶液</t>
  </si>
  <si>
    <t>1、雏禽开口净化沙门氏菌、大肠杆菌、支原体。
2、治疗大肠杆菌病、浆膜炎。</t>
  </si>
  <si>
    <t>1、雏禽开口 5000只/瓶，全天量集中饮用 6-7小时。2、治疗大肠杆菌病、浆膜炎 500斤水 /瓶，全天量集中饮用 7小时，连用 3天。</t>
  </si>
  <si>
    <t>清解合剂</t>
  </si>
  <si>
    <t>治疗闷棚（肺发黑、瘀血）、粪便干燥、顽固性浆膜炎、大肠杆菌、腹膜炎，配合抗生素使用。</t>
  </si>
  <si>
    <t>本品 500ml/瓶兑水 500斤，全天量集中饮用 5-6小时，连用 2天。</t>
  </si>
  <si>
    <t>菲尔利</t>
  </si>
  <si>
    <t>硫酸头孢喹肟注射液</t>
  </si>
  <si>
    <t>20ml/瓶*10瓶/盒*12盒/箱</t>
  </si>
  <si>
    <t>雏禽保健：配合油苗注射能有效预防各种致病菌引起的早期死亡，提高成活率和鸡（鸭）群整齐度。</t>
  </si>
  <si>
    <t>治疗细菌性疾病注射：250kg体重/瓶；配合油苗注射：1日龄：雏鸡：5000只/瓶；雏鸭：3750-5000只/瓶；7日龄：雏鸡：1600-2500只/瓶；雏鸭：850-1300只/瓶。</t>
  </si>
  <si>
    <t>注射250kg体重</t>
  </si>
  <si>
    <t>超吉拍档（不用稀释液的超吉拍档）</t>
  </si>
  <si>
    <t>防治细菌病、支原体和滑液囊支原体引起的心包炎、肝周炎、气囊炎、腹膜炎、关节炎、龙骨液化等症状。</t>
  </si>
  <si>
    <t>7日龄和油苗混合：鸡，1瓶本品配合3瓶油苗；鸭，1瓶本品配合2瓶油苗（1瓶超吉拍档用40ml纯净水稀释后油苗混合注射即可）。
平时和油苗配伍用于1000斤体重，治疗滑液囊支原体和细菌性疾病每瓶注射600斤体重。</t>
  </si>
  <si>
    <t>抗体类产品</t>
  </si>
  <si>
    <t>痛风抗体类产品</t>
  </si>
  <si>
    <t>抚风®</t>
  </si>
  <si>
    <t>6g/瓶×80瓶/箱</t>
  </si>
  <si>
    <t>1、痛风抗体效价高达212.5以上，并复配高效免疫增强剂，真正实现水禽痛风的可防可控。
2、更易联合用药，可与抗生素、水剂类抗体联合，有利于扩大防治范围，减少动物应激。
3、冻干抗体，体积小，易运输、易保存，抗体效价更稳定
用于预防水禽痛风，适用于各品种水禽的各个养殖阶段</t>
  </si>
  <si>
    <t>1-3日龄，400羽/瓶；
3-10日龄，200-250羽/瓶。</t>
  </si>
  <si>
    <t>400只</t>
  </si>
  <si>
    <t>抗病毒类产品</t>
  </si>
  <si>
    <t>舒感康</t>
  </si>
  <si>
    <t>天然植物饲料原料 金银花粗提物</t>
  </si>
  <si>
    <t>防治新城疫、流感、传贫、白血病、圆环病毒等各种病毒病；增强抵抗力，增加抗体滴度，改善肠道。</t>
  </si>
  <si>
    <t>治疗新城疫本品兑水2000斤、用一次即可；治疗非劣性病毒疾病，兑水2500-3000斤，连用3天。</t>
  </si>
  <si>
    <t>不低于70元</t>
  </si>
  <si>
    <t>增免抗病毒类产品</t>
  </si>
  <si>
    <t>优乐佳</t>
  </si>
  <si>
    <t>芪板青颗粒</t>
  </si>
  <si>
    <t>1.育雏增免，防治腺胃炎和脾坏死；2.18-20天使用，提高机体免疫力，预防流感、新城疫等病毒病的发生。</t>
  </si>
  <si>
    <t>本品500g兑水750斤，全天量集中6小时饮完，连用4天</t>
  </si>
  <si>
    <t>750斤</t>
  </si>
  <si>
    <t>派唯舒</t>
  </si>
  <si>
    <t>甘草提取物</t>
  </si>
  <si>
    <t>1、用于疾病后期采食量不上升的治疗；2、用于非典型性新城疫的治疗；3、用于病毒性腺胃炎的治疗；4、对蛋鸡病毒病没有继发感染治疗效果最好；5、用于病毒病的预防和前期感染治疗。</t>
  </si>
  <si>
    <t>本品500g兑水600斤，集中饮用5-6小时，重症使用3天，轻症使用2天。</t>
  </si>
  <si>
    <t>黄芪多糖口服液（β防御素、干扰素γ、β）</t>
  </si>
  <si>
    <t>1、预防新城疫和流感等各种病毒病18、19日龄用2天；2、配合鸭肝抗体注射可预防圆环病毒；3、配合羡康治疗15天内的病毒性腺胃炎效果显著。</t>
  </si>
  <si>
    <t>1、肉鸡、肉鸭：18、19日龄（2000羽/瓶），28、29日龄（1500羽/瓶）建议分别使用一欠，每次各使用 2天。2、蛋禽、种禽：建议每月使用一次，1500羽/瓶，每次使用2天。</t>
  </si>
  <si>
    <t>2000只</t>
  </si>
  <si>
    <t>1、退烧（病毒性高热）、清肺热、抗病毒、提高采食量。2、保健使用，预防病毒病，提升肝功能及抗病力。</t>
  </si>
  <si>
    <t>100ml/瓶注射1200-1500kg体重；饮水400-600斤，饮用6小时。</t>
  </si>
  <si>
    <t>本品 250ml/瓶饮水1000-1500斤，全天量集中饮用 4-5小时，连用 3天。</t>
  </si>
  <si>
    <t>1000-1500斤</t>
  </si>
  <si>
    <t>退烧、抗炎、增料、抗病毒</t>
  </si>
  <si>
    <t>本品500g/袋兑水6000斤，建议不低于5000斤水使用，全天量集中饮用7-8小时，连用3-5天。</t>
  </si>
  <si>
    <t>6000斤</t>
  </si>
  <si>
    <t>本品100g/袋兑水1200斤，建议不低于1000斤水使用，全天量集中饮用7-8小时，连用3-5天。</t>
  </si>
  <si>
    <t>不低于13元</t>
  </si>
  <si>
    <t>帝菲特</t>
  </si>
  <si>
    <t>黄芪多糖口服液（胸腺肽、转移因子）</t>
  </si>
  <si>
    <t>1、治疗鸭鹅副黏病毒、鸡新城疫、法氏囊效果显著。2、对鸭圆环病毒和呼肠孤病毒引起的脾坏死、花肝有特效。</t>
  </si>
  <si>
    <t>1、注射：每公斤体重0.2ml。2、饮水：本品100ml兑水500斤，全天量集中饮用5-6小时，连用3天。</t>
  </si>
  <si>
    <t>防治流感新城疫全程可用</t>
  </si>
  <si>
    <t>主要用于禽流感（治疗H5除外，因为H5死亡率太快不建议治疗使用）、新城疫的预防和治疗。注除樱桃谷鸭以外的鸭鹅品种H5效果显著。</t>
  </si>
  <si>
    <t>本品250ml用于1500只鸡（预防新城疫可用于3000只鸡），每次饮用5-6小时，连用两天；在易发病日龄前2-3天使用。。</t>
  </si>
  <si>
    <t>3000只</t>
  </si>
  <si>
    <t>主要用于新城疫、流感、腺病毒、法氏囊炎、传染性贫血的防治。</t>
  </si>
  <si>
    <t>本品100ml加增效剂2ml，饮水：1000—1200kg体重/瓶，饮水前控水3-4小时，集中3-4小时饮完，连用2天；注射：每公斤体重0.1-0.15ml。</t>
  </si>
  <si>
    <t>1000-1200kg体重</t>
  </si>
  <si>
    <t>本品250ml加增效剂4ml
饮水：2500—3000kg体重/瓶，饮水前控水3-4小时，集中3-4小时饮完，连用2天；
注射：每公斤体重0.1-0.15ml。</t>
  </si>
  <si>
    <t>2500-3000kg体重</t>
  </si>
  <si>
    <t>新城疫预防和治疗全程使用</t>
  </si>
  <si>
    <t>欣控</t>
  </si>
  <si>
    <t>10ml/瓶*10瓶/盒*12盒/箱</t>
  </si>
  <si>
    <t>1、许多养殖区域新城疫不二免，养殖后期非典型新城疫发病率高，18日龄、30日龄各用一次。2、家禽已经出现呼吸道时，不能使用疫苗防疫，直接使用欣控不会有应激反应。</t>
  </si>
  <si>
    <t>10ml/瓶1000只鸡仅用1天或2000只鸡连用2天，全天量集中分2个2小时饮用。</t>
  </si>
  <si>
    <t>感美舒®</t>
  </si>
  <si>
    <t>天然植物饲料原料金银花黄芪粗提物(复配型)</t>
  </si>
  <si>
    <t>用于防治鸡新城疫、传贫、腺病毒、传染性支气管炎和 H9亚型禽流感等病毒性疾病，提高机体抗病力。</t>
  </si>
  <si>
    <t>推荐方案（以白羽肉鸡为例）：17～18日龄，连用2天，6000只/袋；29～30日龄，连用2天，3000只/袋，全天量集中饮用5～7小时。</t>
  </si>
  <si>
    <t>中和新、流腺病毒</t>
  </si>
  <si>
    <t>速瑞达</t>
  </si>
  <si>
    <t>新流腺抗体</t>
  </si>
  <si>
    <t>1、中和新城疫、流感、安卡拉病毒。2、提高机体抗病力。</t>
  </si>
  <si>
    <t>1、雏鸡：800-1000只鸡 /瓶；成鸡（28日龄以上）：500只鸡 /瓶，饮用 4-5小时，连用 2天。2、治疗安卡拉注射时 0.4-0.6ml/kg体重。</t>
  </si>
  <si>
    <t>1000只</t>
  </si>
  <si>
    <t>应激受凉感冒药物</t>
  </si>
  <si>
    <t>玉屏风口服液（蛋鸡可用）</t>
  </si>
  <si>
    <t>1.治疗风寒感冒：症见：精神萎靡、打蔫、轻微发热；2.开口、保健、促生长、预防免疫抑制病的发生（1-5日龄，30-35日龄）；3.抗应激：家禽转群、长途运输、冷应激、断喙、换料；4.提高疫苗免疫效果，填补免疫空白期、减轻疫苗应激；5.愈后或大量抗生素使用后，促进机体康复。</t>
  </si>
  <si>
    <t>本品 500ml兑水1000斤，自由饮用或集中饮用，连用 3～ 5天。</t>
  </si>
  <si>
    <t>双黄连口服液250ml（蛋鸡可用）</t>
  </si>
  <si>
    <t>1.甩鼻、呼噜、打喷嚏，配合卡巴匹林钙效果佳；咳嗽配合海健素效果更佳。（如变天、氨味刺激、疫苗防疫等应激、病毒性感冒）；2.采食量正常但眼圈变长、眼睑发红的治疗。</t>
  </si>
  <si>
    <t>250ml/瓶兑水400斤，饮用9-12小时，连用4天。</t>
  </si>
  <si>
    <t>双黄连口服液500ml</t>
  </si>
  <si>
    <t>500ml/瓶兑水800斤，饮用9-12小时，连用4天。</t>
  </si>
  <si>
    <t>奥利佳</t>
  </si>
  <si>
    <t>银黄口服液</t>
  </si>
  <si>
    <t>1.当不明原因导致鸡群产蛋率下降初期时；2.当家禽病毒性疾病和呼吸道疾病多发季节时使用；3.当家禽出现咳嗽、甩鼻、张口伸颈呼吸等呼吸道症状时使用。</t>
  </si>
  <si>
    <t>250ml/瓶兑水400斤，饮用6-8小时，连用3-4天。</t>
  </si>
  <si>
    <t xml:space="preserve">清热解毒抗病毒类产品
</t>
  </si>
  <si>
    <t>金感康</t>
  </si>
  <si>
    <t>液态金银花粗提物</t>
  </si>
  <si>
    <t>对家禽因流感、传喉等病毒病引起的肿头肿脸、红眼流泪、流鼻涕、瘫痪、摇头晃脑、头颈震颤、缩脖、拉绿粪、不增料、高烧不退、采食量下降、气管出血、喉头出血、咳嗽等症状效果显著。</t>
  </si>
  <si>
    <t>1000ml/瓶兑水2000斤，全天量饮用5-7小时，连用4日。</t>
  </si>
  <si>
    <t>克迪方略</t>
  </si>
  <si>
    <t>公英青蓝合剂</t>
  </si>
  <si>
    <t>500ml/瓶兑水1000斤，全天量饮用5-7小时，连用4日。</t>
  </si>
  <si>
    <t>（中药）利达美（第二天见效）250ml</t>
  </si>
  <si>
    <t>清瘟解毒口服液</t>
  </si>
  <si>
    <t>流感病毒及风热感冒中后期以及其他原因引起采食量下降、大群精神尚可、高死亡率的治疗。剖检可见的肺出血、心肌出血、胰腺出血、肾脏条状出血、气囊浑浊等症状。</t>
  </si>
  <si>
    <t>250ml/瓶兑水400斤，饮用6小时，连用4天。</t>
  </si>
  <si>
    <t>（中药）利达美（第二天见效）500ml</t>
  </si>
  <si>
    <t>500ml/瓶兑水800斤，饮用6小时，连用4天。</t>
  </si>
  <si>
    <t>板青败毒口服液</t>
  </si>
  <si>
    <t>用于各种病毒病的治疗，对鸡新城疫（鸭、鹅副粘病毒病）、鸡传染性法氏囊炎有很好的治疗效果。临床症状表现为鸡冠发黑，倒提口中流出粘液，怕冷扎堆，排绿色或黄色粪便，剖检可见胸肌、腿肌出血，喉气管针尖状出血，腺胃乳头出血，法氏囊肿大、花斑肾等症状。</t>
  </si>
  <si>
    <t>本品250ml兑水300斤，全天量集中饮用6-8小时。</t>
  </si>
  <si>
    <t>甘舒乐500g</t>
  </si>
  <si>
    <t>1、粪便干燥、肾脏平整或明显高出肾窝（出血很少）。2、顽固性心包炎、气囊炎（胸气囊和肺部之间有干酪样物质）、心肌出血。</t>
  </si>
  <si>
    <t>本品500g兑水1000斤，全天量集中饮水用8小时，连用3-4天。</t>
  </si>
  <si>
    <t>甘舒乐1000g</t>
  </si>
  <si>
    <t>主要用于肺部栓塞、肺坏死、肺发黑、顽固性心包炎、肝周炎、气囊炎或气囊内有干酪样渗出物、粪便发干等感冒和流感症状。</t>
  </si>
  <si>
    <t>本品1kg/袋兑水500斤，全天量集中饮用10-13小时，连用1-2天。</t>
  </si>
  <si>
    <t>四 逆 汤</t>
  </si>
  <si>
    <t>主要用于病毒性感冒和风热感冒引起高死亡率，肉髯发绀、发紫，采食量严重下降、精神差的治疗；剖检可见气管出血，肺脏淤血、出血、水肿，心肌出血、心包积液，肾脏出血等症状。</t>
  </si>
  <si>
    <t>于各种原因引起的高烧不退、精神沉郁、眼睑发红、咳嗽、甩鼻、流鼻涕等症状的治疗。</t>
  </si>
  <si>
    <t>本品500ml兑水 2000斤，全天量集中7-8小时饮完，连用 4-5天（饮水不得低于1800斤水）</t>
  </si>
  <si>
    <t>控孤TM</t>
  </si>
  <si>
    <t>5g/瓶×80瓶/箱</t>
  </si>
  <si>
    <t>1、效价高。精制浓缩抗体，防治水禽呼肠孤病毒病更有效。
2、联合易。可与多种水剂类抗体联合使用，实现一针防多病。
3、体积小。冻干剂型，易运输、保存，抗体效价更稳定。</t>
  </si>
  <si>
    <t>肠道类产品</t>
  </si>
  <si>
    <t>四黄止痢颗粒</t>
  </si>
  <si>
    <t>1、支气管栓塞、黑肺、大肠杆菌的预防与辅助治疗；2、对多种原因引起的粪便干燥、粘稠、细长效果显著；4、治疗各类肠炎、腹泻、黄粪、红粪、湿热型下痢使用。</t>
  </si>
  <si>
    <t>本品 500g/袋兑水 1000斤，全天量集中饮水 6小时，连用 4天。</t>
  </si>
  <si>
    <t>预防水禽传染性浆膜炎</t>
  </si>
  <si>
    <t>浆小白（水禽）</t>
  </si>
  <si>
    <t>250ml/瓶×40瓶/箱</t>
  </si>
  <si>
    <t>1、用于预防水禽传染性浆膜炎。 
2、调理肠道菌群平衡，提高机体抗病能力。
3、优化筛选的嗜酸乳杆菌可高效分泌荚膜多糖类似物，刺激动物肠道分泌多种靶向鸭疫里默氏杆菌的黏膜免疫抗体（SIgA），有效预防水禽传染性浆膜炎的发生。
4、嗜酸乳杆菌还可分泌乳酸菌素、嗜酸杆菌素等多种抑菌物质，对各种肠道致病菌产生拮抗作用，调理肠道菌群平衡，提高机体抗病能力。</t>
  </si>
  <si>
    <t>本品250ml/瓶可用于2500只鸭、鹅，饮水使用4—6小时，也可拌料使用。</t>
  </si>
  <si>
    <t>2500只</t>
  </si>
  <si>
    <t>1、靶向益生菌发酵产生的荚膜多糖类似物刺激机体产生黏膜免疫抗体，起到预防鸭疫菌侵入机体的作用。
2、中药清解合剂具有清热凉血功效，可有效预防包心包肝的发生。
3、用于预防肉鸡、蛋鸡、种鸡的鸭疫里默氏杆菌感染。 
4、调理肠道菌群平衡，提高机体抗病能力。</t>
  </si>
  <si>
    <t>本品250ml/瓶可用于4000只鸡（种鸡、三黄鸡、麻鸡等大日龄家禽根据日龄情况可按6000kg体重/瓶），集中饮水使用4—6小时，也可拌料使用</t>
  </si>
  <si>
    <t>4000只</t>
  </si>
  <si>
    <t>营养增料促生长</t>
  </si>
  <si>
    <t>利德宝（增肥）桶</t>
  </si>
  <si>
    <t>枯草芽孢杆菌</t>
  </si>
  <si>
    <t>1000g/袋*15袋/桶</t>
  </si>
  <si>
    <t>1.腺胃炎后期、疾病康复期、天气炎热不增料；2.肉禽后期快速增重；3.改善家禽爪、毛、冠子等外观。</t>
  </si>
  <si>
    <t>每袋1000g兑水2000斤，饮用8小时，连用5天。（时间短会引起拉稀）。</t>
  </si>
  <si>
    <t>利德宝（增肥）箱</t>
  </si>
  <si>
    <t>5桶之内25元</t>
  </si>
  <si>
    <t>驱霉菌类产品</t>
  </si>
  <si>
    <t>发病期间治疗</t>
  </si>
  <si>
    <t>益昌梅（脱霉）</t>
  </si>
  <si>
    <t>液态微生物</t>
  </si>
  <si>
    <t>1、饲料有霉变时、腺胃肿胀、肌胃糜烂。2、嗉囊有白色荚膜、鸡伸脖吐水。</t>
  </si>
  <si>
    <t>本品 250ml/瓶，兑水 1200斤，全天量集中饮水 8小时，连用 4-5天。</t>
  </si>
  <si>
    <t>1200斤</t>
  </si>
  <si>
    <t>腺胃炎产品</t>
  </si>
  <si>
    <t>液态苍术木香粗提物（复配型）</t>
  </si>
  <si>
    <t>适用于多种原因（应激、免疫抑制、霉菌及饲养管理）引起的腺肌胃炎，如采食量下降、挑料、消瘦、生长缓慢、拉细条粪、肌胃糜烂、腺胃肿胀等症。</t>
  </si>
  <si>
    <t>益欣康</t>
  </si>
  <si>
    <t>葡萄糖氧化酶</t>
  </si>
  <si>
    <t>1、鸡大小不均、腺胃肿胀、肌胃糜烂、采食量低时使用配合舒可芬®（3000斤水/袋），可快速提高采食量。2、配合海健素®或派唯舒®治疗腺胃炎效果不错。3、嗉囊有白色荚膜、鸡吐水或肺气囊有黄色粒大小霉菌结节，效果显著。</t>
  </si>
  <si>
    <t>兑水800斤，饮用6-8小时，连用4-5天。</t>
  </si>
  <si>
    <t>天然植物饲料原料 干姜粗提物</t>
  </si>
  <si>
    <t>1、鸡大小不均，腺胃肿胀、采食量低、饲料便时使用，快速提高采食量。
2、腺胃肿胀、肌胃糜烂、饲料便。</t>
  </si>
  <si>
    <t>本品 100g兑水400斤，全天量集中饮用 8小时，连用 4-5天</t>
  </si>
  <si>
    <t>本品 500g兑水2500斤，全天量集中饮用 8小时，连用 4-5天</t>
  </si>
  <si>
    <t>保肝类护肾类</t>
  </si>
  <si>
    <t>传支净</t>
  </si>
  <si>
    <t>天然植物饲料原料 茯苓粗提物</t>
  </si>
  <si>
    <t>治疗各种原因引起的痛风花斑肾</t>
  </si>
  <si>
    <t>本品1000g兑水1600斤(治疗量)，集中6-8小时饮用，连用2天</t>
  </si>
  <si>
    <t>1600斤</t>
  </si>
  <si>
    <t>利美佳康</t>
  </si>
  <si>
    <t>混合型饲料添加剂 地衣芽孢杆菌</t>
  </si>
  <si>
    <t>500g/袋*30袋/桶</t>
  </si>
  <si>
    <t>用于防治各种原因引起的腹水、花斑肾及痛风的治疗</t>
  </si>
  <si>
    <t>本品500g兑水800斤，全天量集中饮用6-7小时，连用3天</t>
  </si>
  <si>
    <t>茯苓提取液</t>
  </si>
  <si>
    <t>1、保肝护肾：预防肝脏损伤和肾脏损伤。2、治疗：肝脏发黄、发黑、肿大、易碎或肝萎缩、腹水症。3、治疗：肾脏肿大、高出肾窝、出血或肾萎缩等症等。</t>
  </si>
  <si>
    <t>250ml/瓶兑水400斤，全天量集中饮用5-6小时，连用4天。</t>
  </si>
  <si>
    <t>即可预防亦可治疗</t>
  </si>
  <si>
    <t>肝胆颗粒</t>
  </si>
  <si>
    <t>1、霉菌毒素、用药过多造成的肝发黑、发黄、肿大、易碎。2、营养代谢障碍造成的肝脏病变（脂肪肝），采食量下降。3、雏鸭病毒性肝炎、鸡包涵体肝炎（辅助治疗）。</t>
  </si>
  <si>
    <t>本品500g/袋，兑水1000斤，全天量集中饮水8小时，连用4天。</t>
  </si>
  <si>
    <t>抗球虫类</t>
  </si>
  <si>
    <t>预防治疗都可以</t>
  </si>
  <si>
    <t>驱球止痢合剂</t>
  </si>
  <si>
    <t>清热、杀虫、凉血、止血、止痢。临床用于：1、小肠球虫的防治。2、各种球虫、下痢、腹泻的防治。3、肠毒综合症的防治。</t>
  </si>
  <si>
    <t>本品每瓶500毫升兑水1000斤，饮用8—9小时，连用3天。</t>
  </si>
  <si>
    <t>发病治疗使用</t>
  </si>
  <si>
    <t>球立欣</t>
  </si>
  <si>
    <t>地衣芽孢杆菌</t>
  </si>
  <si>
    <t>用于小肠球虫病的治疗，对球虫引起的西红柿样便和饲料便配合四黄止痢颗粒效果显著。</t>
  </si>
  <si>
    <t>100g兑水400斤，饮用5-6小时，连用3天。</t>
  </si>
  <si>
    <t>营养类</t>
  </si>
  <si>
    <t>（市面500g12-20元）高免鱼肝油（蛋鸡用的多）箱</t>
  </si>
  <si>
    <t>200g/袋*50袋/箱</t>
  </si>
  <si>
    <t>1、提高机体免疫力，减少疾病发生，缓解疫苗接种后应激反应。2、防止维生素A、D、E，预防瘫痪脑软化症。3、增强机体免疫力，减少疾病发生。4、促进钙磷吸收，增强蛋壳硬度，改善蛋壳色泽，防治腿病，软骨症，脑软化症。</t>
  </si>
  <si>
    <t>每袋200克，饮水4000斤（拌料2000斤），饮用8小时，连用3天。</t>
  </si>
  <si>
    <t>卖价5.5-6元</t>
  </si>
  <si>
    <t>（市面500g12-20元）高免鱼肝油（蛋鸡用的多）桶</t>
  </si>
  <si>
    <t>200g/袋*60袋/桶</t>
  </si>
  <si>
    <t>增蛋类产品</t>
  </si>
  <si>
    <t>活力佳(蛋禽）</t>
  </si>
  <si>
    <t>嗜酸乳杆菌枯草芽孢杆菌</t>
  </si>
  <si>
    <t>1.促进卵泡发育，延长产蛋高峰；2.改善蛋壳颜色、改善蛋壳质量，改善蛋品质；3.改善肠道，提高种蛋受精率。</t>
  </si>
  <si>
    <t>本品500g 拌料500kg或饮水1000kg。</t>
  </si>
  <si>
    <t>2000斤水</t>
  </si>
  <si>
    <t>防暑降温类产品</t>
  </si>
  <si>
    <t>既可防热应激亦可治疗热应激</t>
  </si>
  <si>
    <t>冰爽</t>
  </si>
  <si>
    <t>1.降低饮用水的温度；2.降低饮用水的PH值；3.中和内毒素；4.清洁水线；5.蓝色水溶液，促进饮水量。</t>
  </si>
  <si>
    <t>本品500g兑水1500斤，全天量集中上午10点到下午16点饮用。</t>
  </si>
  <si>
    <t>藿香正气口服液</t>
  </si>
  <si>
    <t>1、天气高热时，下午17:00开始饮用，连用6小时，防治高温高湿引起的中暑现象！2、高温天气，湿帘开启不当，所引发的感冒，如轻微流涕、怕冷、腹泻、采食量低下、精神差等感冒症状。3、因高温、高湿天气引起的肉鸡采食量下降和肉鸭不增料、翻个、瘫痪、 水泻等症状效果显著。4.对夏季顽固性浆膜炎有特效。</t>
  </si>
  <si>
    <t>1.天气炎热：兑水1000斤，下午5点以后，连用8小时；2.出现中暑症状和湿热感冒：本品兑水600斤，全天量集中饮用8小时，连用3天。</t>
  </si>
  <si>
    <t>消毒剂类</t>
  </si>
  <si>
    <t>可以带鸡饮水消毒的消毒剂</t>
  </si>
  <si>
    <t>10%聚维酮碘溶液</t>
  </si>
  <si>
    <t>畜禽舍环境消毒和器械消毒，带禽消毒：1瓶兑水250斤；饮水消毒：1瓶兑水2500斤。</t>
  </si>
  <si>
    <t>每平方米60ml。</t>
  </si>
  <si>
    <t>杀灭病毒和细菌最强的消毒剂</t>
  </si>
  <si>
    <t>戊二醛癸甲溴铵溶液</t>
  </si>
  <si>
    <t>1000ml/瓶*20瓶/箱</t>
  </si>
  <si>
    <t>常规环境消毒，1：（2000～4000）；疫病发生时环境消毒，1：（500～1000）；浸泡：器械、设备等消毒，1：（1500～3000）。</t>
  </si>
  <si>
    <t>每平米喷洒75ml。</t>
  </si>
  <si>
    <t>4000L</t>
  </si>
  <si>
    <t>可熏蒸的消毒剂</t>
  </si>
  <si>
    <t>二氯异氰脲酸钠粉</t>
  </si>
  <si>
    <t>1.用于熏蒸消毒。2.冲洗水线。3.种蛋浸泡消毒。</t>
  </si>
  <si>
    <t>1、熏蒸每立方米 1g（本品 500g熏蒸 500立方米），熏蒸时每 500g配合本品自带的 150g葡萄糖混合点燃（不加葡萄糖无法燃烧）。2、畜禽饲养场所、器具消毒，每 1L水，0.25～ 2.5g；种蛋消毒，浸泡，每 1L水 0.25～ 1g；疫源地消毒，每 1L水0.5g。</t>
  </si>
  <si>
    <t>500m³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</si>
</sst>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;;;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2E2E2E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2">
      <alignment vertical="center"/>
    </xf>
    <xf numFmtId="0" fontId="10" fillId="0" borderId="12">
      <alignment vertical="center"/>
    </xf>
    <xf numFmtId="0" fontId="11" fillId="0" borderId="13">
      <alignment vertical="center"/>
    </xf>
    <xf numFmtId="0" fontId="11" fillId="0" borderId="0">
      <alignment vertical="center"/>
    </xf>
    <xf numFmtId="0" fontId="12" fillId="4" borderId="14">
      <alignment vertical="center"/>
    </xf>
    <xf numFmtId="0" fontId="13" fillId="5" borderId="15">
      <alignment vertical="center"/>
    </xf>
    <xf numFmtId="0" fontId="14" fillId="5" borderId="14">
      <alignment vertical="center"/>
    </xf>
    <xf numFmtId="0" fontId="15" fillId="6" borderId="16">
      <alignment vertical="center"/>
    </xf>
    <xf numFmtId="0" fontId="16" fillId="0" borderId="17">
      <alignment vertical="center"/>
    </xf>
    <xf numFmtId="0" fontId="17" fillId="0" borderId="1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1" xfId="3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zoomScale="130" zoomScaleNormal="130" topLeftCell="A6" workbookViewId="0">
      <selection activeCell="A24" sqref="A24:J29"/>
    </sheetView>
  </sheetViews>
  <sheetFormatPr defaultColWidth="9" defaultRowHeight="13.5"/>
  <cols>
    <col min="1" max="1" width="9" style="16" customWidth="1"/>
    <col min="2" max="2" width="29.625" style="1" customWidth="1"/>
    <col min="3" max="3" width="13.125" style="16" customWidth="1"/>
    <col min="4" max="4" width="17.125" style="1" customWidth="1"/>
    <col min="5" max="5" width="9" style="1" customWidth="1"/>
    <col min="6" max="6" width="12.25" style="1" customWidth="1"/>
    <col min="7" max="7" width="18" style="1" customWidth="1"/>
    <col min="8" max="8" width="7.125" style="16" customWidth="1"/>
    <col min="9" max="9" width="10.25" style="1" customWidth="1"/>
    <col min="10" max="10" width="12.625" style="16" customWidth="1"/>
    <col min="11" max="14" width="12.625" customWidth="1"/>
  </cols>
  <sheetData>
    <row r="1" ht="27" customHeight="1" spans="1:10">
      <c r="A1" s="17" t="s">
        <v>0</v>
      </c>
      <c r="B1" s="2" t="s">
        <v>1</v>
      </c>
      <c r="C1" s="17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17" t="s">
        <v>4</v>
      </c>
      <c r="I1" s="2" t="s">
        <v>5</v>
      </c>
      <c r="J1" s="17" t="s">
        <v>6</v>
      </c>
    </row>
    <row r="2" spans="1:10">
      <c r="A2" s="18">
        <v>1</v>
      </c>
      <c r="B2" s="3" t="s">
        <v>7</v>
      </c>
      <c r="C2" s="26">
        <v>0.2</v>
      </c>
      <c r="D2" s="3" t="s">
        <v>8</v>
      </c>
      <c r="E2" s="3" t="s">
        <v>9</v>
      </c>
      <c r="F2" s="4">
        <f>23.1/0.88</f>
        <v>26.25</v>
      </c>
      <c r="G2" s="3" t="s">
        <v>10</v>
      </c>
      <c r="H2" s="18" t="s">
        <v>11</v>
      </c>
      <c r="I2" s="4">
        <f>5.3/0.88</f>
        <v>6.02272727272727</v>
      </c>
      <c r="J2" s="18" t="s">
        <v>12</v>
      </c>
    </row>
    <row r="3" spans="1:10">
      <c r="A3" s="18">
        <v>2</v>
      </c>
      <c r="B3" s="3" t="s">
        <v>13</v>
      </c>
      <c r="C3" s="26">
        <v>0.5</v>
      </c>
      <c r="D3" s="3" t="s">
        <v>8</v>
      </c>
      <c r="E3" s="3" t="s">
        <v>14</v>
      </c>
      <c r="F3" s="4">
        <f>111.1/0.88</f>
        <v>126.25</v>
      </c>
      <c r="G3" s="3" t="s">
        <v>10</v>
      </c>
      <c r="H3" s="18" t="s">
        <v>15</v>
      </c>
      <c r="I3" s="4">
        <f>23.3/0.88</f>
        <v>26.4772727272727</v>
      </c>
      <c r="J3" s="18"/>
    </row>
    <row r="4" spans="1:10">
      <c r="A4" s="18">
        <v>3</v>
      </c>
      <c r="B4" s="3" t="s">
        <v>16</v>
      </c>
      <c r="C4" s="26">
        <v>0.5</v>
      </c>
      <c r="D4" s="3" t="s">
        <v>8</v>
      </c>
      <c r="E4" s="3" t="s">
        <v>9</v>
      </c>
      <c r="F4" s="4">
        <f>13.3/0.88</f>
        <v>15.1136363636364</v>
      </c>
      <c r="G4" s="3" t="s">
        <v>10</v>
      </c>
      <c r="H4" s="18" t="s">
        <v>11</v>
      </c>
      <c r="I4" s="4">
        <f>3.7/0.88</f>
        <v>4.20454545454546</v>
      </c>
      <c r="J4" s="18"/>
    </row>
    <row r="5" spans="1:10">
      <c r="A5" s="18">
        <v>4</v>
      </c>
      <c r="B5" s="3" t="s">
        <v>17</v>
      </c>
      <c r="C5" s="26">
        <v>0.3</v>
      </c>
      <c r="D5" s="3" t="s">
        <v>8</v>
      </c>
      <c r="E5" s="3" t="s">
        <v>18</v>
      </c>
      <c r="F5" s="4">
        <f>38.3/0.88</f>
        <v>43.5227272727273</v>
      </c>
      <c r="G5" s="3" t="s">
        <v>10</v>
      </c>
      <c r="H5" s="18" t="s">
        <v>19</v>
      </c>
      <c r="I5" s="4">
        <f>8.6/0.88</f>
        <v>9.77272727272727</v>
      </c>
      <c r="J5" s="18" t="s">
        <v>12</v>
      </c>
    </row>
    <row r="6" spans="1:10">
      <c r="A6" s="18">
        <v>5</v>
      </c>
      <c r="B6" s="3" t="s">
        <v>20</v>
      </c>
      <c r="C6" s="26" t="s">
        <v>21</v>
      </c>
      <c r="D6" s="3" t="s">
        <v>22</v>
      </c>
      <c r="E6" s="3" t="s">
        <v>23</v>
      </c>
      <c r="F6" s="4">
        <f>38.9/0.88</f>
        <v>44.2045454545455</v>
      </c>
      <c r="G6" s="3" t="s">
        <v>10</v>
      </c>
      <c r="H6" s="18" t="s">
        <v>15</v>
      </c>
      <c r="I6" s="4">
        <f>5.1/0.88</f>
        <v>5.79545454545454</v>
      </c>
      <c r="J6" s="18" t="s">
        <v>12</v>
      </c>
    </row>
    <row r="7" spans="1:10">
      <c r="A7" s="18">
        <v>5</v>
      </c>
      <c r="B7" s="3" t="s">
        <v>24</v>
      </c>
      <c r="C7" s="26" t="s">
        <v>21</v>
      </c>
      <c r="D7" s="3" t="s">
        <v>8</v>
      </c>
      <c r="E7" s="3" t="s">
        <v>14</v>
      </c>
      <c r="F7" s="4">
        <f>20/0.88</f>
        <v>22.7272727272727</v>
      </c>
      <c r="G7" s="3" t="s">
        <v>10</v>
      </c>
      <c r="H7" s="18" t="s">
        <v>15</v>
      </c>
      <c r="I7" s="4">
        <f>5.1/0.88</f>
        <v>5.79545454545454</v>
      </c>
      <c r="J7" s="18"/>
    </row>
    <row r="8" spans="1:10">
      <c r="A8" s="18">
        <v>6</v>
      </c>
      <c r="B8" s="3" t="s">
        <v>25</v>
      </c>
      <c r="C8" s="26">
        <v>0.325</v>
      </c>
      <c r="D8" s="3" t="s">
        <v>8</v>
      </c>
      <c r="E8" s="3" t="s">
        <v>18</v>
      </c>
      <c r="F8" s="4">
        <f>30/0.88</f>
        <v>34.0909090909091</v>
      </c>
      <c r="G8" s="3" t="s">
        <v>10</v>
      </c>
      <c r="H8" s="18" t="s">
        <v>19</v>
      </c>
      <c r="I8" s="4">
        <f>6.9/0.88</f>
        <v>7.84090909090909</v>
      </c>
      <c r="J8" s="18" t="s">
        <v>12</v>
      </c>
    </row>
    <row r="9" spans="1:10">
      <c r="A9" s="18">
        <v>7</v>
      </c>
      <c r="B9" s="3" t="s">
        <v>26</v>
      </c>
      <c r="C9" s="26" t="s">
        <v>27</v>
      </c>
      <c r="D9" s="3" t="s">
        <v>8</v>
      </c>
      <c r="E9" s="3" t="s">
        <v>28</v>
      </c>
      <c r="F9" s="4">
        <f>31.1/0.88</f>
        <v>35.3409090909091</v>
      </c>
      <c r="G9" s="3" t="s">
        <v>29</v>
      </c>
      <c r="H9" s="3" t="s">
        <v>29</v>
      </c>
      <c r="I9" s="3" t="s">
        <v>29</v>
      </c>
      <c r="J9" s="18" t="s">
        <v>12</v>
      </c>
    </row>
    <row r="10" spans="1:10">
      <c r="A10" s="18">
        <v>8</v>
      </c>
      <c r="B10" s="3" t="s">
        <v>30</v>
      </c>
      <c r="C10" s="26" t="s">
        <v>31</v>
      </c>
      <c r="D10" s="3" t="s">
        <v>32</v>
      </c>
      <c r="E10" s="3" t="s">
        <v>9</v>
      </c>
      <c r="F10" s="4">
        <f>65.6/0.88</f>
        <v>74.5454545454545</v>
      </c>
      <c r="G10" s="3" t="s">
        <v>29</v>
      </c>
      <c r="H10" s="3" t="s">
        <v>29</v>
      </c>
      <c r="I10" s="3" t="s">
        <v>29</v>
      </c>
      <c r="J10" s="18" t="s">
        <v>12</v>
      </c>
    </row>
    <row r="11" spans="1:10">
      <c r="A11" s="18">
        <v>9</v>
      </c>
      <c r="B11" s="3" t="s">
        <v>33</v>
      </c>
      <c r="C11" s="26">
        <v>0.1</v>
      </c>
      <c r="D11" s="3" t="s">
        <v>32</v>
      </c>
      <c r="E11" s="3" t="s">
        <v>34</v>
      </c>
      <c r="F11" s="4">
        <f>44.4/0.88</f>
        <v>50.4545454545455</v>
      </c>
      <c r="G11" s="3" t="s">
        <v>10</v>
      </c>
      <c r="H11" s="18" t="s">
        <v>35</v>
      </c>
      <c r="I11" s="4">
        <f>5.4/0.88</f>
        <v>6.13636363636364</v>
      </c>
      <c r="J11" s="18"/>
    </row>
    <row r="12" spans="1:10">
      <c r="A12" s="18">
        <v>10</v>
      </c>
      <c r="B12" s="3" t="s">
        <v>36</v>
      </c>
      <c r="C12" s="26">
        <v>0.2</v>
      </c>
      <c r="D12" s="3" t="s">
        <v>32</v>
      </c>
      <c r="E12" s="3" t="s">
        <v>14</v>
      </c>
      <c r="F12" s="4">
        <f>32.2/0.88</f>
        <v>36.5909090909091</v>
      </c>
      <c r="G12" s="3" t="s">
        <v>10</v>
      </c>
      <c r="H12" s="18" t="s">
        <v>11</v>
      </c>
      <c r="I12" s="4">
        <f>4.1/0.88</f>
        <v>4.65909090909091</v>
      </c>
      <c r="J12" s="18" t="s">
        <v>12</v>
      </c>
    </row>
    <row r="13" spans="1:10">
      <c r="A13" s="18">
        <v>11</v>
      </c>
      <c r="B13" s="3" t="s">
        <v>37</v>
      </c>
      <c r="C13" s="26">
        <v>0.12</v>
      </c>
      <c r="D13" s="3" t="s">
        <v>8</v>
      </c>
      <c r="E13" s="3" t="s">
        <v>9</v>
      </c>
      <c r="F13" s="4">
        <f>22.2/0.88</f>
        <v>25.2272727272727</v>
      </c>
      <c r="G13" s="3" t="s">
        <v>10</v>
      </c>
      <c r="H13" s="18" t="s">
        <v>11</v>
      </c>
      <c r="I13" s="4">
        <f>5.2/0.88</f>
        <v>5.90909090909091</v>
      </c>
      <c r="J13" s="18" t="s">
        <v>12</v>
      </c>
    </row>
    <row r="14" spans="1:10">
      <c r="A14" s="18">
        <v>12</v>
      </c>
      <c r="B14" s="3" t="s">
        <v>38</v>
      </c>
      <c r="C14" s="26">
        <v>0.25</v>
      </c>
      <c r="D14" s="3" t="s">
        <v>39</v>
      </c>
      <c r="E14" s="3" t="s">
        <v>40</v>
      </c>
      <c r="F14" s="4">
        <f>30/0.88</f>
        <v>34.0909090909091</v>
      </c>
      <c r="G14" s="3" t="s">
        <v>41</v>
      </c>
      <c r="H14" s="18" t="s">
        <v>42</v>
      </c>
      <c r="I14" s="4">
        <f>13.3/0.88</f>
        <v>15.1136363636364</v>
      </c>
      <c r="J14" s="18" t="s">
        <v>12</v>
      </c>
    </row>
    <row r="15" spans="1:10">
      <c r="A15" s="18">
        <v>13</v>
      </c>
      <c r="B15" s="3" t="s">
        <v>43</v>
      </c>
      <c r="C15" s="26">
        <v>0.5</v>
      </c>
      <c r="D15" s="3" t="s">
        <v>8</v>
      </c>
      <c r="E15" s="3" t="s">
        <v>28</v>
      </c>
      <c r="F15" s="4">
        <f>101.1/0.88</f>
        <v>114.886363636364</v>
      </c>
      <c r="G15" s="3" t="s">
        <v>10</v>
      </c>
      <c r="H15" s="18" t="s">
        <v>44</v>
      </c>
      <c r="I15" s="4">
        <f>21.1/0.88</f>
        <v>23.9772727272727</v>
      </c>
      <c r="J15" s="18" t="s">
        <v>12</v>
      </c>
    </row>
    <row r="16" spans="1:10">
      <c r="A16" s="18">
        <v>14</v>
      </c>
      <c r="B16" s="3" t="s">
        <v>45</v>
      </c>
      <c r="C16" s="26">
        <v>0.2</v>
      </c>
      <c r="D16" s="3" t="s">
        <v>8</v>
      </c>
      <c r="E16" s="3" t="s">
        <v>28</v>
      </c>
      <c r="F16" s="4">
        <f>47.8/0.88</f>
        <v>54.3181818181818</v>
      </c>
      <c r="G16" s="3" t="s">
        <v>10</v>
      </c>
      <c r="H16" s="18" t="s">
        <v>44</v>
      </c>
      <c r="I16" s="4">
        <f>10.7/0.88</f>
        <v>12.1590909090909</v>
      </c>
      <c r="J16" s="18" t="s">
        <v>12</v>
      </c>
    </row>
    <row r="17" ht="27" customHeight="1" spans="1:10">
      <c r="A17" s="18">
        <v>15</v>
      </c>
      <c r="B17" s="3" t="s">
        <v>46</v>
      </c>
      <c r="C17" s="26" t="s">
        <v>47</v>
      </c>
      <c r="D17" s="3" t="s">
        <v>8</v>
      </c>
      <c r="E17" s="3" t="s">
        <v>9</v>
      </c>
      <c r="F17" s="4">
        <f>36.1/0.88</f>
        <v>41.0227272727273</v>
      </c>
      <c r="G17" s="3" t="s">
        <v>10</v>
      </c>
      <c r="H17" s="18" t="s">
        <v>11</v>
      </c>
      <c r="I17" s="4">
        <f>8.1/0.88</f>
        <v>9.20454545454545</v>
      </c>
      <c r="J17" s="18" t="s">
        <v>12</v>
      </c>
    </row>
    <row r="18" spans="1:10">
      <c r="A18" s="18">
        <v>16</v>
      </c>
      <c r="B18" s="3" t="s">
        <v>48</v>
      </c>
      <c r="C18" s="26" t="s">
        <v>49</v>
      </c>
      <c r="D18" s="3" t="s">
        <v>29</v>
      </c>
      <c r="E18" s="3" t="s">
        <v>29</v>
      </c>
      <c r="F18" s="3" t="s">
        <v>29</v>
      </c>
      <c r="G18" s="3" t="s">
        <v>50</v>
      </c>
      <c r="H18" s="18" t="s">
        <v>34</v>
      </c>
      <c r="I18" s="4">
        <f>27.2/0.88</f>
        <v>30.9090909090909</v>
      </c>
      <c r="J18" s="18" t="s">
        <v>12</v>
      </c>
    </row>
    <row r="19" ht="27" customHeight="1" spans="1:10">
      <c r="A19" s="18">
        <v>17</v>
      </c>
      <c r="B19" s="3" t="s">
        <v>51</v>
      </c>
      <c r="C19" s="26">
        <v>0.3</v>
      </c>
      <c r="D19" s="3" t="s">
        <v>29</v>
      </c>
      <c r="E19" s="3" t="s">
        <v>29</v>
      </c>
      <c r="F19" s="3" t="s">
        <v>29</v>
      </c>
      <c r="G19" s="3" t="s">
        <v>10</v>
      </c>
      <c r="H19" s="18" t="s">
        <v>52</v>
      </c>
      <c r="I19" s="4">
        <f>10.3/0.88</f>
        <v>11.7045454545455</v>
      </c>
      <c r="J19" s="18" t="s">
        <v>12</v>
      </c>
    </row>
    <row r="20" ht="27" customHeight="1" spans="1:10">
      <c r="A20" s="18">
        <v>18</v>
      </c>
      <c r="B20" s="3" t="s">
        <v>53</v>
      </c>
      <c r="C20" s="26">
        <v>0.3</v>
      </c>
      <c r="D20" s="3" t="s">
        <v>29</v>
      </c>
      <c r="E20" s="3" t="s">
        <v>29</v>
      </c>
      <c r="F20" s="3" t="s">
        <v>29</v>
      </c>
      <c r="G20" s="3" t="s">
        <v>10</v>
      </c>
      <c r="H20" s="18" t="s">
        <v>52</v>
      </c>
      <c r="I20" s="4">
        <f>9/0.88</f>
        <v>10.2272727272727</v>
      </c>
      <c r="J20" s="18" t="s">
        <v>12</v>
      </c>
    </row>
    <row r="21" spans="1:10">
      <c r="A21" s="18">
        <v>19</v>
      </c>
      <c r="B21" s="3" t="s">
        <v>54</v>
      </c>
      <c r="C21" s="26">
        <v>0.3</v>
      </c>
      <c r="D21" s="3" t="s">
        <v>29</v>
      </c>
      <c r="E21" s="3" t="s">
        <v>29</v>
      </c>
      <c r="F21" s="3" t="s">
        <v>29</v>
      </c>
      <c r="G21" s="3" t="s">
        <v>10</v>
      </c>
      <c r="H21" s="18" t="s">
        <v>55</v>
      </c>
      <c r="I21" s="4">
        <f>7.8/0.88</f>
        <v>8.86363636363636</v>
      </c>
      <c r="J21" s="18" t="s">
        <v>12</v>
      </c>
    </row>
    <row r="22" spans="1:10">
      <c r="A22" s="18">
        <v>20</v>
      </c>
      <c r="B22" s="3" t="s">
        <v>56</v>
      </c>
      <c r="C22" s="26">
        <v>0.1</v>
      </c>
      <c r="D22" s="3" t="s">
        <v>8</v>
      </c>
      <c r="E22" s="3" t="s">
        <v>15</v>
      </c>
      <c r="F22" s="4">
        <f>26.7/0.88</f>
        <v>30.3409090909091</v>
      </c>
      <c r="G22" s="3" t="s">
        <v>29</v>
      </c>
      <c r="H22" s="3" t="s">
        <v>29</v>
      </c>
      <c r="I22" s="3" t="s">
        <v>29</v>
      </c>
      <c r="J22" s="18"/>
    </row>
    <row r="23" spans="1:10">
      <c r="A23" s="18">
        <v>21</v>
      </c>
      <c r="B23" s="3" t="s">
        <v>57</v>
      </c>
      <c r="C23" s="26">
        <v>0.8</v>
      </c>
      <c r="D23" s="3" t="s">
        <v>29</v>
      </c>
      <c r="E23" s="3" t="s">
        <v>29</v>
      </c>
      <c r="F23" s="3" t="s">
        <v>29</v>
      </c>
      <c r="G23" s="3" t="s">
        <v>10</v>
      </c>
      <c r="H23" s="18" t="s">
        <v>58</v>
      </c>
      <c r="I23" s="4">
        <f>27.8/0.88</f>
        <v>31.5909090909091</v>
      </c>
      <c r="J23" s="18" t="s">
        <v>12</v>
      </c>
    </row>
    <row r="24" spans="1:10">
      <c r="A24" s="27" t="s">
        <v>59</v>
      </c>
      <c r="B24" s="21"/>
      <c r="C24" s="21"/>
      <c r="D24" s="21"/>
      <c r="E24" s="21"/>
      <c r="F24" s="21"/>
      <c r="G24" s="21"/>
      <c r="H24" s="21"/>
      <c r="I24" s="21"/>
      <c r="J24" s="22"/>
    </row>
    <row r="25" spans="1:10">
      <c r="A25" s="28"/>
      <c r="J25" s="29"/>
    </row>
    <row r="26" spans="1:10">
      <c r="A26" s="28"/>
      <c r="J26" s="29"/>
    </row>
    <row r="27" spans="1:10">
      <c r="A27" s="28"/>
      <c r="J27" s="29"/>
    </row>
    <row r="28" spans="1:10">
      <c r="A28" s="28"/>
      <c r="J28" s="29"/>
    </row>
    <row r="29" spans="1:10">
      <c r="A29" s="23"/>
      <c r="B29" s="24"/>
      <c r="C29" s="24"/>
      <c r="D29" s="24"/>
      <c r="E29" s="24"/>
      <c r="F29" s="24"/>
      <c r="G29" s="24"/>
      <c r="H29" s="24"/>
      <c r="I29" s="24"/>
      <c r="J29" s="25"/>
    </row>
    <row r="30" spans="1:10">
      <c r="A30" s="16" t="s">
        <v>12</v>
      </c>
      <c r="B30" s="1" t="s">
        <v>12</v>
      </c>
      <c r="C30" s="16" t="s">
        <v>12</v>
      </c>
      <c r="D30" s="1" t="s">
        <v>12</v>
      </c>
      <c r="E30" s="1" t="s">
        <v>12</v>
      </c>
      <c r="F30" s="1" t="s">
        <v>12</v>
      </c>
      <c r="H30" s="16" t="s">
        <v>12</v>
      </c>
      <c r="I30" s="1" t="s">
        <v>12</v>
      </c>
      <c r="J30" s="16" t="s">
        <v>12</v>
      </c>
    </row>
  </sheetData>
  <mergeCells count="1">
    <mergeCell ref="A24:J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23" sqref="A23"/>
    </sheetView>
  </sheetViews>
  <sheetFormatPr defaultColWidth="9" defaultRowHeight="13.5" outlineLevelCol="4"/>
  <cols>
    <col min="1" max="1" width="17.25" style="1" customWidth="1"/>
    <col min="2" max="2" width="41.125" style="16" customWidth="1"/>
    <col min="3" max="3" width="25.25" style="16" customWidth="1"/>
    <col min="4" max="4" width="11.5" style="16" customWidth="1"/>
    <col min="5" max="5" width="47" style="16" customWidth="1"/>
  </cols>
  <sheetData>
    <row r="1" ht="23" customHeight="1" spans="1:5">
      <c r="A1" s="2" t="s">
        <v>60</v>
      </c>
      <c r="B1" s="2" t="s">
        <v>61</v>
      </c>
      <c r="C1" s="17" t="s">
        <v>3</v>
      </c>
      <c r="D1" s="17" t="s">
        <v>62</v>
      </c>
      <c r="E1" s="17" t="s">
        <v>63</v>
      </c>
    </row>
    <row r="2" spans="1:5">
      <c r="A2" s="3" t="s">
        <v>64</v>
      </c>
      <c r="B2" s="18" t="s">
        <v>29</v>
      </c>
      <c r="C2" s="18" t="s">
        <v>39</v>
      </c>
      <c r="D2" s="19">
        <v>45.5</v>
      </c>
      <c r="E2" s="18" t="s">
        <v>65</v>
      </c>
    </row>
    <row r="3" spans="1:5">
      <c r="A3" s="3" t="s">
        <v>66</v>
      </c>
      <c r="B3" s="18" t="s">
        <v>67</v>
      </c>
      <c r="C3" s="18" t="s">
        <v>68</v>
      </c>
      <c r="D3" s="19">
        <v>20.5</v>
      </c>
      <c r="E3" s="18" t="s">
        <v>69</v>
      </c>
    </row>
    <row r="4" spans="1:5">
      <c r="A4" s="3" t="s">
        <v>70</v>
      </c>
      <c r="B4" s="18" t="s">
        <v>71</v>
      </c>
      <c r="C4" s="18" t="s">
        <v>72</v>
      </c>
      <c r="D4" s="19">
        <v>39.8</v>
      </c>
      <c r="E4" s="18" t="s">
        <v>73</v>
      </c>
    </row>
    <row r="5" spans="1:5">
      <c r="A5" s="3" t="s">
        <v>74</v>
      </c>
      <c r="B5" s="18" t="s">
        <v>29</v>
      </c>
      <c r="C5" s="18" t="s">
        <v>39</v>
      </c>
      <c r="D5" s="19">
        <v>45.5</v>
      </c>
      <c r="E5" s="18" t="s">
        <v>75</v>
      </c>
    </row>
    <row r="6" spans="1:5">
      <c r="A6" s="3" t="s">
        <v>76</v>
      </c>
      <c r="B6" s="18" t="s">
        <v>77</v>
      </c>
      <c r="C6" s="18" t="s">
        <v>78</v>
      </c>
      <c r="D6" s="19">
        <v>20.5</v>
      </c>
      <c r="E6" s="18" t="s">
        <v>75</v>
      </c>
    </row>
    <row r="7" ht="27" customHeight="1" spans="1:5">
      <c r="A7" s="10" t="s">
        <v>79</v>
      </c>
      <c r="B7" s="20" t="s">
        <v>80</v>
      </c>
      <c r="C7" s="18" t="s">
        <v>8</v>
      </c>
      <c r="D7" s="19">
        <v>45.5</v>
      </c>
      <c r="E7" s="18" t="s">
        <v>81</v>
      </c>
    </row>
    <row r="8" ht="27" customHeight="1" spans="1:5">
      <c r="A8" s="10" t="s">
        <v>82</v>
      </c>
      <c r="B8" s="20" t="s">
        <v>80</v>
      </c>
      <c r="C8" s="18" t="s">
        <v>10</v>
      </c>
      <c r="D8" s="19">
        <v>10.8</v>
      </c>
      <c r="E8" s="18" t="s">
        <v>83</v>
      </c>
    </row>
    <row r="9" spans="1:5">
      <c r="A9" s="3" t="s">
        <v>84</v>
      </c>
      <c r="B9" s="18" t="s">
        <v>85</v>
      </c>
      <c r="C9" s="18" t="s">
        <v>86</v>
      </c>
      <c r="D9" s="19">
        <v>25</v>
      </c>
      <c r="E9" s="18" t="s">
        <v>87</v>
      </c>
    </row>
    <row r="10" spans="1:5">
      <c r="A10" s="3" t="s">
        <v>88</v>
      </c>
      <c r="B10" s="18" t="s">
        <v>85</v>
      </c>
      <c r="C10" s="18" t="s">
        <v>86</v>
      </c>
      <c r="D10" s="19">
        <v>23.9</v>
      </c>
      <c r="E10" s="18" t="s">
        <v>87</v>
      </c>
    </row>
    <row r="11" spans="1:5">
      <c r="A11" s="3" t="s">
        <v>89</v>
      </c>
      <c r="B11" s="18" t="s">
        <v>30</v>
      </c>
      <c r="C11" s="18" t="s">
        <v>86</v>
      </c>
      <c r="D11" s="19">
        <v>22.7</v>
      </c>
      <c r="E11" s="18" t="s">
        <v>87</v>
      </c>
    </row>
    <row r="12" spans="1:5">
      <c r="A12" s="3" t="s">
        <v>90</v>
      </c>
      <c r="B12" s="18" t="s">
        <v>91</v>
      </c>
      <c r="C12" s="18" t="s">
        <v>92</v>
      </c>
      <c r="D12" s="19">
        <v>102.3</v>
      </c>
      <c r="E12" s="18" t="s">
        <v>87</v>
      </c>
    </row>
    <row r="13" spans="1:5">
      <c r="A13" s="10" t="s">
        <v>93</v>
      </c>
      <c r="B13" s="20" t="s">
        <v>94</v>
      </c>
      <c r="C13" s="18" t="s">
        <v>41</v>
      </c>
      <c r="D13" s="19">
        <v>20.5</v>
      </c>
      <c r="E13" s="18" t="s">
        <v>87</v>
      </c>
    </row>
    <row r="14" spans="1:5">
      <c r="A14" s="10" t="s">
        <v>95</v>
      </c>
      <c r="B14" s="20" t="s">
        <v>94</v>
      </c>
      <c r="C14" s="18" t="s">
        <v>39</v>
      </c>
      <c r="D14" s="19">
        <v>30.7</v>
      </c>
      <c r="E14" s="18" t="s">
        <v>87</v>
      </c>
    </row>
    <row r="15" spans="1:5">
      <c r="A15" s="3" t="s">
        <v>96</v>
      </c>
      <c r="B15" s="18" t="s">
        <v>97</v>
      </c>
      <c r="C15" s="18" t="s">
        <v>39</v>
      </c>
      <c r="D15" s="19">
        <v>56.8</v>
      </c>
      <c r="E15" s="18" t="s">
        <v>87</v>
      </c>
    </row>
    <row r="16" spans="1:5">
      <c r="A16" s="10" t="s">
        <v>98</v>
      </c>
      <c r="B16" s="20" t="s">
        <v>99</v>
      </c>
      <c r="C16" s="18" t="s">
        <v>41</v>
      </c>
      <c r="D16" s="19">
        <v>28.4</v>
      </c>
      <c r="E16" s="18" t="s">
        <v>100</v>
      </c>
    </row>
    <row r="17" spans="1:5">
      <c r="A17" s="10" t="s">
        <v>101</v>
      </c>
      <c r="B17" s="20" t="s">
        <v>99</v>
      </c>
      <c r="C17" s="18" t="s">
        <v>39</v>
      </c>
      <c r="D17" s="19">
        <v>68.2</v>
      </c>
      <c r="E17" s="18" t="s">
        <v>87</v>
      </c>
    </row>
    <row r="18" spans="1:5">
      <c r="A18" s="3" t="s">
        <v>102</v>
      </c>
      <c r="B18" s="18" t="s">
        <v>103</v>
      </c>
      <c r="C18" s="18" t="s">
        <v>104</v>
      </c>
      <c r="D18" s="19">
        <v>22.7</v>
      </c>
      <c r="E18" s="18" t="s">
        <v>87</v>
      </c>
    </row>
    <row r="19" spans="1:5">
      <c r="A19" s="3" t="s">
        <v>105</v>
      </c>
      <c r="B19" s="18" t="s">
        <v>106</v>
      </c>
      <c r="C19" s="18" t="s">
        <v>107</v>
      </c>
      <c r="D19" s="19">
        <v>56.8</v>
      </c>
      <c r="E19" s="18" t="s">
        <v>87</v>
      </c>
    </row>
    <row r="20" spans="1:5">
      <c r="A20" s="3" t="s">
        <v>108</v>
      </c>
      <c r="B20" s="18" t="s">
        <v>109</v>
      </c>
      <c r="C20" s="18" t="s">
        <v>92</v>
      </c>
      <c r="D20" s="19">
        <v>90.9</v>
      </c>
      <c r="E20" s="18" t="s">
        <v>110</v>
      </c>
    </row>
    <row r="21" spans="1:5">
      <c r="A21" s="10" t="s">
        <v>111</v>
      </c>
      <c r="B21" s="20" t="s">
        <v>112</v>
      </c>
      <c r="C21" s="18" t="s">
        <v>10</v>
      </c>
      <c r="D21" s="19">
        <v>11.4</v>
      </c>
      <c r="E21" s="18" t="s">
        <v>87</v>
      </c>
    </row>
    <row r="22" spans="1:5">
      <c r="A22" s="10" t="s">
        <v>113</v>
      </c>
      <c r="B22" s="20" t="s">
        <v>112</v>
      </c>
      <c r="C22" s="18" t="s">
        <v>8</v>
      </c>
      <c r="D22" s="19">
        <v>54</v>
      </c>
      <c r="E22" s="18" t="s">
        <v>87</v>
      </c>
    </row>
    <row r="23" spans="1:5">
      <c r="A23" s="3" t="s">
        <v>114</v>
      </c>
      <c r="B23" s="18" t="s">
        <v>115</v>
      </c>
      <c r="C23" s="18" t="s">
        <v>116</v>
      </c>
      <c r="D23" s="19">
        <v>45.5</v>
      </c>
      <c r="E23" s="18" t="s">
        <v>87</v>
      </c>
    </row>
    <row r="24" ht="16" customHeight="1" spans="1:5">
      <c r="A24" s="3" t="s">
        <v>117</v>
      </c>
      <c r="B24" s="21"/>
      <c r="C24" s="21"/>
      <c r="D24" s="21"/>
      <c r="E24" s="22"/>
    </row>
    <row r="25" ht="16" customHeight="1" spans="1:5">
      <c r="A25" s="23"/>
      <c r="B25" s="24"/>
      <c r="C25" s="24"/>
      <c r="D25" s="24"/>
      <c r="E25" s="25"/>
    </row>
  </sheetData>
  <mergeCells count="1">
    <mergeCell ref="A24:E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"/>
  <sheetViews>
    <sheetView tabSelected="1" topLeftCell="A2" workbookViewId="0">
      <selection activeCell="C4" sqref="C4"/>
    </sheetView>
  </sheetViews>
  <sheetFormatPr defaultColWidth="9" defaultRowHeight="13.5"/>
  <cols>
    <col min="1" max="1" width="15.625" style="1" customWidth="1"/>
    <col min="2" max="2" width="12.125" style="1" customWidth="1"/>
    <col min="3" max="3" width="8.75" style="1" customWidth="1"/>
    <col min="4" max="4" width="29.25" style="1" customWidth="1"/>
    <col min="5" max="5" width="18.75" style="1" customWidth="1"/>
    <col min="6" max="6" width="53.375" style="1" customWidth="1"/>
    <col min="7" max="7" width="46.125" style="1" customWidth="1"/>
    <col min="8" max="8" width="15.375" style="1" customWidth="1"/>
    <col min="9" max="9" width="8.25" style="1" customWidth="1"/>
    <col min="10" max="10" width="7.875" style="1" customWidth="1"/>
    <col min="11" max="11" width="8.625" style="1" customWidth="1"/>
  </cols>
  <sheetData>
    <row r="1" ht="27" customHeight="1" spans="1:11">
      <c r="A1" s="2" t="s">
        <v>118</v>
      </c>
      <c r="B1" s="2" t="s">
        <v>119</v>
      </c>
      <c r="C1" s="2" t="s">
        <v>60</v>
      </c>
      <c r="D1" s="2" t="s">
        <v>61</v>
      </c>
      <c r="E1" s="2" t="s">
        <v>120</v>
      </c>
      <c r="F1" s="2" t="s">
        <v>121</v>
      </c>
      <c r="G1" s="2" t="s">
        <v>122</v>
      </c>
      <c r="H1" s="2" t="s">
        <v>4</v>
      </c>
      <c r="I1" s="2" t="s">
        <v>123</v>
      </c>
      <c r="J1" s="2" t="s">
        <v>6</v>
      </c>
      <c r="K1" s="2" t="s">
        <v>124</v>
      </c>
    </row>
    <row r="2" ht="94.5" customHeight="1" spans="1:11">
      <c r="A2" s="3" t="s">
        <v>125</v>
      </c>
      <c r="B2" s="3" t="s">
        <v>126</v>
      </c>
      <c r="C2" s="3" t="s">
        <v>127</v>
      </c>
      <c r="D2" s="3" t="s">
        <v>85</v>
      </c>
      <c r="E2" s="3" t="s">
        <v>86</v>
      </c>
      <c r="F2" s="3" t="s">
        <v>128</v>
      </c>
      <c r="G2" s="3" t="s">
        <v>129</v>
      </c>
      <c r="H2" s="3" t="s">
        <v>130</v>
      </c>
      <c r="I2" s="4">
        <v>25</v>
      </c>
      <c r="J2" s="3" t="s">
        <v>131</v>
      </c>
      <c r="K2" s="3" t="s">
        <v>29</v>
      </c>
    </row>
    <row r="3" ht="40.5" customHeight="1" spans="1:11">
      <c r="A3" s="3" t="s">
        <v>125</v>
      </c>
      <c r="B3" s="3" t="s">
        <v>29</v>
      </c>
      <c r="C3" s="3" t="s">
        <v>89</v>
      </c>
      <c r="D3" s="3" t="s">
        <v>30</v>
      </c>
      <c r="E3" s="3" t="s">
        <v>86</v>
      </c>
      <c r="F3" s="3" t="s">
        <v>132</v>
      </c>
      <c r="G3" s="3" t="s">
        <v>133</v>
      </c>
      <c r="H3" s="3" t="s">
        <v>134</v>
      </c>
      <c r="I3" s="4">
        <v>22.7272727272727</v>
      </c>
      <c r="J3" s="3" t="s">
        <v>29</v>
      </c>
      <c r="K3" s="3" t="s">
        <v>29</v>
      </c>
    </row>
    <row r="4" ht="54" spans="1:11">
      <c r="A4" s="5" t="s">
        <v>125</v>
      </c>
      <c r="B4" s="5" t="s">
        <v>29</v>
      </c>
      <c r="C4" s="5" t="s">
        <v>114</v>
      </c>
      <c r="D4" s="5" t="s">
        <v>135</v>
      </c>
      <c r="E4" s="5" t="s">
        <v>116</v>
      </c>
      <c r="F4" s="5" t="s">
        <v>136</v>
      </c>
      <c r="G4" s="5" t="s">
        <v>137</v>
      </c>
      <c r="H4" s="5" t="s">
        <v>15</v>
      </c>
      <c r="I4" s="6">
        <v>45.5</v>
      </c>
      <c r="J4" s="5" t="s">
        <v>29</v>
      </c>
      <c r="K4" s="5" t="s">
        <v>29</v>
      </c>
    </row>
    <row r="5" ht="27" customHeight="1" spans="1:11">
      <c r="A5" s="3" t="s">
        <v>138</v>
      </c>
      <c r="B5" s="3" t="s">
        <v>139</v>
      </c>
      <c r="C5" s="3" t="s">
        <v>90</v>
      </c>
      <c r="D5" s="3" t="s">
        <v>140</v>
      </c>
      <c r="E5" s="3" t="s">
        <v>92</v>
      </c>
      <c r="F5" s="3" t="s">
        <v>141</v>
      </c>
      <c r="G5" s="3" t="s">
        <v>142</v>
      </c>
      <c r="H5" s="3" t="s">
        <v>9</v>
      </c>
      <c r="I5" s="4">
        <v>102.272727272727</v>
      </c>
      <c r="J5" s="3" t="s">
        <v>29</v>
      </c>
      <c r="K5" s="3" t="s">
        <v>29</v>
      </c>
    </row>
    <row r="6" ht="27" customHeight="1" spans="1:11">
      <c r="A6" s="3" t="s">
        <v>138</v>
      </c>
      <c r="B6" s="3" t="s">
        <v>139</v>
      </c>
      <c r="C6" s="3" t="s">
        <v>143</v>
      </c>
      <c r="D6" s="3" t="s">
        <v>144</v>
      </c>
      <c r="E6" s="3" t="s">
        <v>39</v>
      </c>
      <c r="F6" s="3" t="s">
        <v>145</v>
      </c>
      <c r="G6" s="3" t="s">
        <v>146</v>
      </c>
      <c r="H6" s="3" t="s">
        <v>11</v>
      </c>
      <c r="I6" s="4">
        <v>25</v>
      </c>
      <c r="J6" s="3" t="s">
        <v>29</v>
      </c>
      <c r="K6" s="3" t="s">
        <v>29</v>
      </c>
    </row>
    <row r="7" ht="27" customHeight="1" spans="1:11">
      <c r="A7" s="3" t="s">
        <v>138</v>
      </c>
      <c r="B7" s="3" t="s">
        <v>139</v>
      </c>
      <c r="C7" s="3" t="s">
        <v>147</v>
      </c>
      <c r="D7" s="3" t="s">
        <v>144</v>
      </c>
      <c r="E7" s="3" t="s">
        <v>116</v>
      </c>
      <c r="F7" s="3" t="s">
        <v>145</v>
      </c>
      <c r="G7" s="3" t="s">
        <v>148</v>
      </c>
      <c r="H7" s="3" t="s">
        <v>15</v>
      </c>
      <c r="I7" s="4">
        <v>45.4545454545455</v>
      </c>
      <c r="J7" s="3" t="s">
        <v>29</v>
      </c>
      <c r="K7" s="3" t="s">
        <v>29</v>
      </c>
    </row>
    <row r="8" ht="27" customHeight="1" spans="1:11">
      <c r="A8" s="3" t="s">
        <v>138</v>
      </c>
      <c r="B8" s="3" t="s">
        <v>139</v>
      </c>
      <c r="C8" s="3" t="s">
        <v>29</v>
      </c>
      <c r="D8" s="3" t="s">
        <v>149</v>
      </c>
      <c r="E8" s="3" t="s">
        <v>116</v>
      </c>
      <c r="F8" s="3" t="s">
        <v>150</v>
      </c>
      <c r="G8" s="3" t="s">
        <v>151</v>
      </c>
      <c r="H8" s="3" t="s">
        <v>58</v>
      </c>
      <c r="I8" s="4">
        <v>31.8181818181818</v>
      </c>
      <c r="J8" s="3" t="s">
        <v>29</v>
      </c>
      <c r="K8" s="3" t="s">
        <v>29</v>
      </c>
    </row>
    <row r="9" ht="24" customHeight="1" spans="1:11">
      <c r="A9" s="3" t="s">
        <v>138</v>
      </c>
      <c r="B9" s="3" t="s">
        <v>29</v>
      </c>
      <c r="C9" s="3" t="s">
        <v>152</v>
      </c>
      <c r="D9" s="3" t="s">
        <v>153</v>
      </c>
      <c r="E9" s="3" t="s">
        <v>154</v>
      </c>
      <c r="F9" s="3" t="s">
        <v>155</v>
      </c>
      <c r="G9" s="3" t="s">
        <v>156</v>
      </c>
      <c r="H9" s="3" t="s">
        <v>55</v>
      </c>
      <c r="I9" s="4">
        <v>17.0454545454545</v>
      </c>
      <c r="J9" s="3" t="s">
        <v>131</v>
      </c>
      <c r="K9" s="3" t="s">
        <v>29</v>
      </c>
    </row>
    <row r="10" ht="40.5" customHeight="1" spans="1:11">
      <c r="A10" s="3" t="s">
        <v>157</v>
      </c>
      <c r="B10" s="3" t="s">
        <v>126</v>
      </c>
      <c r="C10" s="3" t="s">
        <v>158</v>
      </c>
      <c r="D10" s="3" t="s">
        <v>13</v>
      </c>
      <c r="E10" s="3" t="s">
        <v>8</v>
      </c>
      <c r="F10" s="3" t="s">
        <v>159</v>
      </c>
      <c r="G10" s="3" t="s">
        <v>160</v>
      </c>
      <c r="H10" s="3" t="s">
        <v>58</v>
      </c>
      <c r="I10" s="4">
        <v>96.5909090909091</v>
      </c>
      <c r="J10" s="3">
        <v>0.25</v>
      </c>
      <c r="K10" s="3" t="s">
        <v>29</v>
      </c>
    </row>
    <row r="11" ht="40.5" customHeight="1" spans="1:11">
      <c r="A11" s="3" t="s">
        <v>157</v>
      </c>
      <c r="B11" s="3" t="s">
        <v>126</v>
      </c>
      <c r="C11" s="3" t="s">
        <v>161</v>
      </c>
      <c r="D11" s="3" t="s">
        <v>162</v>
      </c>
      <c r="E11" s="3" t="s">
        <v>8</v>
      </c>
      <c r="F11" s="3" t="s">
        <v>163</v>
      </c>
      <c r="G11" s="3" t="s">
        <v>164</v>
      </c>
      <c r="H11" s="3" t="s">
        <v>34</v>
      </c>
      <c r="I11" s="4">
        <v>96.5909090909091</v>
      </c>
      <c r="J11" s="3" t="s">
        <v>131</v>
      </c>
      <c r="K11" s="3" t="s">
        <v>29</v>
      </c>
    </row>
    <row r="12" ht="40.5" customHeight="1" spans="1:11">
      <c r="A12" s="3" t="s">
        <v>157</v>
      </c>
      <c r="B12" s="3" t="s">
        <v>139</v>
      </c>
      <c r="C12" s="3" t="s">
        <v>165</v>
      </c>
      <c r="D12" s="3" t="s">
        <v>166</v>
      </c>
      <c r="E12" s="3" t="s">
        <v>167</v>
      </c>
      <c r="F12" s="3" t="s">
        <v>168</v>
      </c>
      <c r="G12" s="3" t="s">
        <v>169</v>
      </c>
      <c r="H12" s="3" t="s">
        <v>15</v>
      </c>
      <c r="I12" s="4">
        <v>90.9090909090909</v>
      </c>
      <c r="J12" s="3" t="s">
        <v>29</v>
      </c>
      <c r="K12" s="3" t="s">
        <v>29</v>
      </c>
    </row>
    <row r="13" ht="27" customHeight="1" spans="1:11">
      <c r="A13" s="3" t="s">
        <v>170</v>
      </c>
      <c r="B13" s="3" t="s">
        <v>171</v>
      </c>
      <c r="C13" s="3" t="s">
        <v>29</v>
      </c>
      <c r="D13" s="3" t="s">
        <v>38</v>
      </c>
      <c r="E13" s="3" t="s">
        <v>41</v>
      </c>
      <c r="F13" s="3" t="s">
        <v>172</v>
      </c>
      <c r="G13" s="3" t="s">
        <v>173</v>
      </c>
      <c r="H13" s="3" t="s">
        <v>52</v>
      </c>
      <c r="I13" s="4">
        <v>11.3636363636364</v>
      </c>
      <c r="J13" s="3" t="s">
        <v>174</v>
      </c>
      <c r="K13" s="3" t="s">
        <v>29</v>
      </c>
    </row>
    <row r="14" ht="27" customHeight="1" spans="1:11">
      <c r="A14" s="3" t="s">
        <v>170</v>
      </c>
      <c r="B14" s="3" t="s">
        <v>126</v>
      </c>
      <c r="C14" s="3" t="s">
        <v>29</v>
      </c>
      <c r="D14" s="3" t="s">
        <v>175</v>
      </c>
      <c r="E14" s="3" t="s">
        <v>41</v>
      </c>
      <c r="F14" s="3" t="s">
        <v>176</v>
      </c>
      <c r="G14" s="3" t="s">
        <v>177</v>
      </c>
      <c r="H14" s="3" t="s">
        <v>52</v>
      </c>
      <c r="I14" s="4">
        <v>18.1818181818182</v>
      </c>
      <c r="J14" s="3" t="s">
        <v>29</v>
      </c>
      <c r="K14" s="3" t="s">
        <v>29</v>
      </c>
    </row>
    <row r="15" ht="67.5" customHeight="1" spans="1:11">
      <c r="A15" s="3" t="s">
        <v>170</v>
      </c>
      <c r="B15" s="3" t="s">
        <v>139</v>
      </c>
      <c r="C15" s="3" t="s">
        <v>29</v>
      </c>
      <c r="D15" s="3" t="s">
        <v>178</v>
      </c>
      <c r="E15" s="3" t="s">
        <v>10</v>
      </c>
      <c r="F15" s="3" t="s">
        <v>179</v>
      </c>
      <c r="G15" s="3" t="s">
        <v>180</v>
      </c>
      <c r="H15" s="3" t="s">
        <v>181</v>
      </c>
      <c r="I15" s="4">
        <v>11.3636363636364</v>
      </c>
      <c r="J15" s="3" t="s">
        <v>29</v>
      </c>
      <c r="K15" s="3" t="s">
        <v>29</v>
      </c>
    </row>
    <row r="16" ht="54" customHeight="1" spans="1:11">
      <c r="A16" s="3" t="s">
        <v>170</v>
      </c>
      <c r="B16" s="3" t="s">
        <v>139</v>
      </c>
      <c r="C16" s="3" t="s">
        <v>29</v>
      </c>
      <c r="D16" s="3" t="s">
        <v>182</v>
      </c>
      <c r="E16" s="3" t="s">
        <v>183</v>
      </c>
      <c r="F16" s="3" t="s">
        <v>184</v>
      </c>
      <c r="G16" s="3" t="s">
        <v>185</v>
      </c>
      <c r="H16" s="3" t="s">
        <v>9</v>
      </c>
      <c r="I16" s="4">
        <v>77.2727272727273</v>
      </c>
      <c r="J16" s="3" t="s">
        <v>174</v>
      </c>
      <c r="K16" s="3" t="s">
        <v>29</v>
      </c>
    </row>
    <row r="17" ht="54" customHeight="1" spans="1:11">
      <c r="A17" s="3" t="s">
        <v>170</v>
      </c>
      <c r="B17" s="3" t="s">
        <v>139</v>
      </c>
      <c r="C17" s="3" t="s">
        <v>186</v>
      </c>
      <c r="D17" s="3" t="s">
        <v>187</v>
      </c>
      <c r="E17" s="3" t="s">
        <v>41</v>
      </c>
      <c r="F17" s="3" t="s">
        <v>188</v>
      </c>
      <c r="G17" s="3" t="s">
        <v>189</v>
      </c>
      <c r="H17" s="3" t="s">
        <v>181</v>
      </c>
      <c r="I17" s="4">
        <v>18.1818181818182</v>
      </c>
      <c r="J17" s="3" t="s">
        <v>29</v>
      </c>
      <c r="K17" s="3" t="s">
        <v>29</v>
      </c>
    </row>
    <row r="18" ht="40.5" customHeight="1" spans="1:11">
      <c r="A18" s="3" t="s">
        <v>170</v>
      </c>
      <c r="B18" s="3" t="s">
        <v>139</v>
      </c>
      <c r="C18" s="3" t="s">
        <v>29</v>
      </c>
      <c r="D18" s="3" t="s">
        <v>190</v>
      </c>
      <c r="E18" s="3" t="s">
        <v>39</v>
      </c>
      <c r="F18" s="3" t="s">
        <v>191</v>
      </c>
      <c r="G18" s="3" t="s">
        <v>192</v>
      </c>
      <c r="H18" s="3" t="s">
        <v>44</v>
      </c>
      <c r="I18" s="4">
        <v>21.0227272727273</v>
      </c>
      <c r="J18" s="3" t="s">
        <v>29</v>
      </c>
      <c r="K18" s="3" t="s">
        <v>29</v>
      </c>
    </row>
    <row r="19" ht="27" customHeight="1" spans="1:11">
      <c r="A19" s="3" t="s">
        <v>170</v>
      </c>
      <c r="B19" s="3" t="s">
        <v>139</v>
      </c>
      <c r="C19" s="3" t="s">
        <v>29</v>
      </c>
      <c r="D19" s="3" t="s">
        <v>193</v>
      </c>
      <c r="E19" s="3" t="s">
        <v>116</v>
      </c>
      <c r="F19" s="3" t="s">
        <v>194</v>
      </c>
      <c r="G19" s="3" t="s">
        <v>195</v>
      </c>
      <c r="H19" s="3" t="s">
        <v>15</v>
      </c>
      <c r="I19" s="4">
        <v>34.0909090909091</v>
      </c>
      <c r="J19" s="3" t="s">
        <v>29</v>
      </c>
      <c r="K19" s="3" t="s">
        <v>29</v>
      </c>
    </row>
    <row r="20" ht="54" customHeight="1" spans="1:11">
      <c r="A20" s="3" t="s">
        <v>170</v>
      </c>
      <c r="B20" s="3" t="s">
        <v>139</v>
      </c>
      <c r="C20" s="3" t="s">
        <v>196</v>
      </c>
      <c r="D20" s="3" t="s">
        <v>197</v>
      </c>
      <c r="E20" s="3" t="s">
        <v>198</v>
      </c>
      <c r="F20" s="3" t="s">
        <v>199</v>
      </c>
      <c r="G20" s="3" t="s">
        <v>200</v>
      </c>
      <c r="H20" s="3" t="s">
        <v>201</v>
      </c>
      <c r="I20" s="4">
        <v>17.0454545454545</v>
      </c>
      <c r="J20" s="3" t="s">
        <v>131</v>
      </c>
      <c r="K20" s="3" t="s">
        <v>29</v>
      </c>
    </row>
    <row r="21" ht="67.5" spans="1:11">
      <c r="A21" s="5" t="s">
        <v>170</v>
      </c>
      <c r="B21" s="5" t="s">
        <v>29</v>
      </c>
      <c r="C21" s="5" t="s">
        <v>202</v>
      </c>
      <c r="D21" s="5" t="s">
        <v>85</v>
      </c>
      <c r="E21" s="5" t="s">
        <v>29</v>
      </c>
      <c r="F21" s="5" t="s">
        <v>203</v>
      </c>
      <c r="G21" s="5" t="s">
        <v>204</v>
      </c>
      <c r="H21" s="5" t="s">
        <v>86</v>
      </c>
      <c r="I21" s="6">
        <v>23.9</v>
      </c>
      <c r="J21" s="5" t="s">
        <v>29</v>
      </c>
      <c r="K21" s="5" t="s">
        <v>29</v>
      </c>
    </row>
    <row r="22" ht="81" spans="1:11">
      <c r="A22" s="7" t="s">
        <v>205</v>
      </c>
      <c r="B22" s="7" t="s">
        <v>206</v>
      </c>
      <c r="C22" s="7" t="s">
        <v>207</v>
      </c>
      <c r="D22" s="7" t="s">
        <v>71</v>
      </c>
      <c r="E22" s="8" t="s">
        <v>208</v>
      </c>
      <c r="F22" s="7" t="s">
        <v>209</v>
      </c>
      <c r="G22" s="7" t="s">
        <v>210</v>
      </c>
      <c r="H22" s="7" t="s">
        <v>211</v>
      </c>
      <c r="I22" s="9">
        <v>39.8</v>
      </c>
      <c r="J22" s="7" t="s">
        <v>29</v>
      </c>
      <c r="K22" s="7" t="s">
        <v>29</v>
      </c>
    </row>
    <row r="23" ht="27" customHeight="1" spans="1:11">
      <c r="A23" s="3" t="s">
        <v>212</v>
      </c>
      <c r="B23" s="3" t="s">
        <v>29</v>
      </c>
      <c r="C23" s="3" t="s">
        <v>213</v>
      </c>
      <c r="D23" s="3" t="s">
        <v>214</v>
      </c>
      <c r="E23" s="3" t="s">
        <v>8</v>
      </c>
      <c r="F23" s="3" t="s">
        <v>215</v>
      </c>
      <c r="G23" s="3" t="s">
        <v>216</v>
      </c>
      <c r="H23" s="3" t="s">
        <v>28</v>
      </c>
      <c r="I23" s="4">
        <v>45.4545454545455</v>
      </c>
      <c r="J23" s="3" t="s">
        <v>29</v>
      </c>
      <c r="K23" s="3" t="s">
        <v>217</v>
      </c>
    </row>
    <row r="24" ht="27" customHeight="1" spans="1:11">
      <c r="A24" s="3" t="s">
        <v>212</v>
      </c>
      <c r="B24" s="3" t="s">
        <v>218</v>
      </c>
      <c r="C24" s="3" t="s">
        <v>219</v>
      </c>
      <c r="D24" s="3" t="s">
        <v>220</v>
      </c>
      <c r="E24" s="3" t="s">
        <v>8</v>
      </c>
      <c r="F24" s="3" t="s">
        <v>221</v>
      </c>
      <c r="G24" s="3" t="s">
        <v>222</v>
      </c>
      <c r="H24" s="3" t="s">
        <v>223</v>
      </c>
      <c r="I24" s="4">
        <v>28.4090909090909</v>
      </c>
      <c r="J24" s="3" t="s">
        <v>29</v>
      </c>
      <c r="K24" s="3" t="s">
        <v>29</v>
      </c>
    </row>
    <row r="25" ht="54" customHeight="1" spans="1:11">
      <c r="A25" s="3" t="s">
        <v>212</v>
      </c>
      <c r="B25" s="3" t="s">
        <v>218</v>
      </c>
      <c r="C25" s="3" t="s">
        <v>224</v>
      </c>
      <c r="D25" s="3" t="s">
        <v>225</v>
      </c>
      <c r="E25" s="3" t="s">
        <v>154</v>
      </c>
      <c r="F25" s="3" t="s">
        <v>226</v>
      </c>
      <c r="G25" s="3" t="s">
        <v>227</v>
      </c>
      <c r="H25" s="3" t="s">
        <v>55</v>
      </c>
      <c r="I25" s="4">
        <v>34.0909090909091</v>
      </c>
      <c r="J25" s="3" t="s">
        <v>29</v>
      </c>
      <c r="K25" s="3" t="s">
        <v>29</v>
      </c>
    </row>
    <row r="26" ht="54" customHeight="1" spans="1:11">
      <c r="A26" s="3" t="s">
        <v>212</v>
      </c>
      <c r="B26" s="3" t="s">
        <v>218</v>
      </c>
      <c r="C26" s="3" t="s">
        <v>76</v>
      </c>
      <c r="D26" s="3" t="s">
        <v>228</v>
      </c>
      <c r="E26" s="3" t="s">
        <v>78</v>
      </c>
      <c r="F26" s="3" t="s">
        <v>229</v>
      </c>
      <c r="G26" s="3" t="s">
        <v>230</v>
      </c>
      <c r="H26" s="3" t="s">
        <v>231</v>
      </c>
      <c r="I26" s="4">
        <v>20.4545454545455</v>
      </c>
      <c r="J26" s="3" t="s">
        <v>29</v>
      </c>
      <c r="K26" s="3" t="s">
        <v>29</v>
      </c>
    </row>
    <row r="27" ht="40.5" customHeight="1" spans="1:11">
      <c r="A27" s="3" t="s">
        <v>212</v>
      </c>
      <c r="B27" s="3" t="s">
        <v>218</v>
      </c>
      <c r="C27" s="3" t="s">
        <v>93</v>
      </c>
      <c r="D27" s="3" t="s">
        <v>94</v>
      </c>
      <c r="E27" s="3" t="s">
        <v>41</v>
      </c>
      <c r="F27" s="3" t="s">
        <v>232</v>
      </c>
      <c r="G27" s="3" t="s">
        <v>233</v>
      </c>
      <c r="H27" s="3" t="s">
        <v>55</v>
      </c>
      <c r="I27" s="4">
        <v>20.4545454545455</v>
      </c>
      <c r="J27" s="3" t="s">
        <v>29</v>
      </c>
      <c r="K27" s="3" t="s">
        <v>29</v>
      </c>
    </row>
    <row r="28" ht="40.5" customHeight="1" spans="1:11">
      <c r="A28" s="3" t="s">
        <v>212</v>
      </c>
      <c r="B28" s="3" t="s">
        <v>218</v>
      </c>
      <c r="C28" s="3" t="s">
        <v>95</v>
      </c>
      <c r="D28" s="3" t="s">
        <v>94</v>
      </c>
      <c r="E28" s="3" t="s">
        <v>39</v>
      </c>
      <c r="F28" s="3" t="s">
        <v>232</v>
      </c>
      <c r="G28" s="3" t="s">
        <v>234</v>
      </c>
      <c r="H28" s="3" t="s">
        <v>235</v>
      </c>
      <c r="I28" s="4">
        <v>30.6818181818182</v>
      </c>
      <c r="J28" s="3" t="s">
        <v>29</v>
      </c>
      <c r="K28" s="3" t="s">
        <v>29</v>
      </c>
    </row>
    <row r="29" ht="54" customHeight="1" spans="1:11">
      <c r="A29" s="3" t="s">
        <v>212</v>
      </c>
      <c r="B29" s="3" t="s">
        <v>218</v>
      </c>
      <c r="C29" s="10" t="s">
        <v>79</v>
      </c>
      <c r="D29" s="3" t="s">
        <v>80</v>
      </c>
      <c r="E29" s="3" t="s">
        <v>8</v>
      </c>
      <c r="F29" s="3" t="s">
        <v>236</v>
      </c>
      <c r="G29" s="3" t="s">
        <v>237</v>
      </c>
      <c r="H29" s="3" t="s">
        <v>238</v>
      </c>
      <c r="I29" s="4">
        <v>45.4545454545455</v>
      </c>
      <c r="J29" s="3" t="s">
        <v>131</v>
      </c>
      <c r="K29" s="3" t="s">
        <v>29</v>
      </c>
    </row>
    <row r="30" ht="54" customHeight="1" spans="1:11">
      <c r="A30" s="3" t="s">
        <v>212</v>
      </c>
      <c r="B30" s="3" t="s">
        <v>218</v>
      </c>
      <c r="C30" s="10" t="s">
        <v>82</v>
      </c>
      <c r="D30" s="3" t="s">
        <v>80</v>
      </c>
      <c r="E30" s="3" t="s">
        <v>10</v>
      </c>
      <c r="F30" s="3" t="s">
        <v>236</v>
      </c>
      <c r="G30" s="3" t="s">
        <v>239</v>
      </c>
      <c r="H30" s="3">
        <v>1200</v>
      </c>
      <c r="I30" s="4">
        <v>10.7954545454545</v>
      </c>
      <c r="J30" s="3" t="s">
        <v>131</v>
      </c>
      <c r="K30" s="3" t="s">
        <v>240</v>
      </c>
    </row>
    <row r="31" ht="40.5" customHeight="1" spans="1:11">
      <c r="A31" s="3" t="s">
        <v>212</v>
      </c>
      <c r="B31" s="3" t="s">
        <v>218</v>
      </c>
      <c r="C31" s="3" t="s">
        <v>241</v>
      </c>
      <c r="D31" s="3" t="s">
        <v>242</v>
      </c>
      <c r="E31" s="3" t="s">
        <v>41</v>
      </c>
      <c r="F31" s="3" t="s">
        <v>243</v>
      </c>
      <c r="G31" s="3" t="s">
        <v>244</v>
      </c>
      <c r="H31" s="3" t="s">
        <v>11</v>
      </c>
      <c r="I31" s="4">
        <v>28.4090909090909</v>
      </c>
      <c r="J31" s="3" t="s">
        <v>29</v>
      </c>
      <c r="K31" s="3" t="s">
        <v>29</v>
      </c>
    </row>
    <row r="32" ht="40.5" customHeight="1" spans="1:11">
      <c r="A32" s="3" t="s">
        <v>212</v>
      </c>
      <c r="B32" s="3" t="s">
        <v>245</v>
      </c>
      <c r="C32" s="3" t="s">
        <v>96</v>
      </c>
      <c r="D32" s="3" t="s">
        <v>97</v>
      </c>
      <c r="E32" s="3" t="s">
        <v>39</v>
      </c>
      <c r="F32" s="3" t="s">
        <v>246</v>
      </c>
      <c r="G32" s="3" t="s">
        <v>247</v>
      </c>
      <c r="H32" s="3" t="s">
        <v>248</v>
      </c>
      <c r="I32" s="4">
        <v>56.8181818181818</v>
      </c>
      <c r="J32" s="3" t="s">
        <v>131</v>
      </c>
      <c r="K32" s="3" t="s">
        <v>29</v>
      </c>
    </row>
    <row r="33" ht="40.5" customHeight="1" spans="1:11">
      <c r="A33" s="3" t="s">
        <v>212</v>
      </c>
      <c r="B33" s="3" t="s">
        <v>29</v>
      </c>
      <c r="C33" s="3" t="s">
        <v>98</v>
      </c>
      <c r="D33" s="3" t="s">
        <v>99</v>
      </c>
      <c r="E33" s="3" t="s">
        <v>41</v>
      </c>
      <c r="F33" s="3" t="s">
        <v>249</v>
      </c>
      <c r="G33" s="3" t="s">
        <v>250</v>
      </c>
      <c r="H33" s="3" t="s">
        <v>251</v>
      </c>
      <c r="I33" s="4">
        <v>28.4090909090909</v>
      </c>
      <c r="J33" s="3" t="s">
        <v>131</v>
      </c>
      <c r="K33" s="3" t="s">
        <v>29</v>
      </c>
    </row>
    <row r="34" ht="54" customHeight="1" spans="1:11">
      <c r="A34" s="3" t="s">
        <v>212</v>
      </c>
      <c r="B34" s="3" t="s">
        <v>29</v>
      </c>
      <c r="C34" s="3" t="s">
        <v>101</v>
      </c>
      <c r="D34" s="3" t="s">
        <v>99</v>
      </c>
      <c r="E34" s="3" t="s">
        <v>39</v>
      </c>
      <c r="F34" s="3" t="s">
        <v>249</v>
      </c>
      <c r="G34" s="3" t="s">
        <v>252</v>
      </c>
      <c r="H34" s="3" t="s">
        <v>253</v>
      </c>
      <c r="I34" s="4">
        <v>68.1818181818182</v>
      </c>
      <c r="J34" s="3" t="s">
        <v>131</v>
      </c>
      <c r="K34" s="3" t="s">
        <v>29</v>
      </c>
    </row>
    <row r="35" ht="54" customHeight="1" spans="1:11">
      <c r="A35" s="3" t="s">
        <v>212</v>
      </c>
      <c r="B35" s="3" t="s">
        <v>254</v>
      </c>
      <c r="C35" s="3" t="s">
        <v>255</v>
      </c>
      <c r="D35" s="3" t="s">
        <v>29</v>
      </c>
      <c r="E35" s="3" t="s">
        <v>256</v>
      </c>
      <c r="F35" s="3" t="s">
        <v>257</v>
      </c>
      <c r="G35" s="3" t="s">
        <v>258</v>
      </c>
      <c r="H35" s="3" t="s">
        <v>231</v>
      </c>
      <c r="I35" s="4">
        <v>45.4545454545455</v>
      </c>
      <c r="J35" s="3" t="s">
        <v>29</v>
      </c>
      <c r="K35" s="3" t="s">
        <v>29</v>
      </c>
    </row>
    <row r="36" ht="40.5" customHeight="1" spans="1:11">
      <c r="A36" s="3" t="s">
        <v>212</v>
      </c>
      <c r="B36" s="3" t="s">
        <v>29</v>
      </c>
      <c r="C36" s="3" t="s">
        <v>259</v>
      </c>
      <c r="D36" s="3" t="s">
        <v>260</v>
      </c>
      <c r="E36" s="3" t="s">
        <v>50</v>
      </c>
      <c r="F36" s="3" t="s">
        <v>261</v>
      </c>
      <c r="G36" s="3" t="s">
        <v>262</v>
      </c>
      <c r="H36" s="3" t="s">
        <v>12</v>
      </c>
      <c r="I36" s="4">
        <v>56.8181818181818</v>
      </c>
      <c r="J36" s="3" t="s">
        <v>131</v>
      </c>
      <c r="K36" s="3" t="s">
        <v>29</v>
      </c>
    </row>
    <row r="37" ht="40.5" customHeight="1" spans="1:11">
      <c r="A37" s="3" t="s">
        <v>212</v>
      </c>
      <c r="B37" s="3" t="s">
        <v>263</v>
      </c>
      <c r="C37" s="3" t="s">
        <v>264</v>
      </c>
      <c r="D37" s="3" t="s">
        <v>265</v>
      </c>
      <c r="E37" s="3" t="s">
        <v>39</v>
      </c>
      <c r="F37" s="3" t="s">
        <v>266</v>
      </c>
      <c r="G37" s="3" t="s">
        <v>267</v>
      </c>
      <c r="H37" s="3" t="s">
        <v>268</v>
      </c>
      <c r="I37" s="4">
        <v>31.8181818181818</v>
      </c>
      <c r="J37" s="3" t="s">
        <v>131</v>
      </c>
      <c r="K37" s="3" t="s">
        <v>29</v>
      </c>
    </row>
    <row r="38" ht="81" customHeight="1" spans="1:11">
      <c r="A38" s="3" t="s">
        <v>212</v>
      </c>
      <c r="B38" s="3" t="s">
        <v>269</v>
      </c>
      <c r="C38" s="3" t="s">
        <v>29</v>
      </c>
      <c r="D38" s="3" t="s">
        <v>270</v>
      </c>
      <c r="E38" s="3" t="s">
        <v>116</v>
      </c>
      <c r="F38" s="3" t="s">
        <v>271</v>
      </c>
      <c r="G38" s="3" t="s">
        <v>272</v>
      </c>
      <c r="H38" s="3" t="s">
        <v>58</v>
      </c>
      <c r="I38" s="4">
        <v>34.0909090909091</v>
      </c>
      <c r="J38" s="3" t="s">
        <v>29</v>
      </c>
      <c r="K38" s="3" t="s">
        <v>29</v>
      </c>
    </row>
    <row r="39" ht="54" customHeight="1" spans="1:11">
      <c r="A39" s="3" t="s">
        <v>212</v>
      </c>
      <c r="B39" s="3" t="s">
        <v>269</v>
      </c>
      <c r="C39" s="3" t="s">
        <v>29</v>
      </c>
      <c r="D39" s="3" t="s">
        <v>273</v>
      </c>
      <c r="E39" s="3" t="s">
        <v>39</v>
      </c>
      <c r="F39" s="3" t="s">
        <v>274</v>
      </c>
      <c r="G39" s="3" t="s">
        <v>275</v>
      </c>
      <c r="H39" s="3" t="s">
        <v>11</v>
      </c>
      <c r="I39" s="4">
        <v>25</v>
      </c>
      <c r="J39" s="3" t="s">
        <v>29</v>
      </c>
      <c r="K39" s="3" t="s">
        <v>29</v>
      </c>
    </row>
    <row r="40" ht="54" customHeight="1" spans="1:11">
      <c r="A40" s="3" t="s">
        <v>212</v>
      </c>
      <c r="B40" s="3" t="s">
        <v>269</v>
      </c>
      <c r="C40" s="3" t="s">
        <v>29</v>
      </c>
      <c r="D40" s="3" t="s">
        <v>276</v>
      </c>
      <c r="E40" s="3" t="s">
        <v>116</v>
      </c>
      <c r="F40" s="3" t="s">
        <v>274</v>
      </c>
      <c r="G40" s="3" t="s">
        <v>277</v>
      </c>
      <c r="H40" s="3" t="s">
        <v>15</v>
      </c>
      <c r="I40" s="4">
        <v>45.4545454545455</v>
      </c>
      <c r="J40" s="3" t="s">
        <v>29</v>
      </c>
      <c r="K40" s="3" t="s">
        <v>29</v>
      </c>
    </row>
    <row r="41" ht="40.5" customHeight="1" spans="1:11">
      <c r="A41" s="3" t="s">
        <v>212</v>
      </c>
      <c r="B41" s="3" t="s">
        <v>269</v>
      </c>
      <c r="C41" s="3" t="s">
        <v>278</v>
      </c>
      <c r="D41" s="3" t="s">
        <v>279</v>
      </c>
      <c r="E41" s="3" t="s">
        <v>39</v>
      </c>
      <c r="F41" s="3" t="s">
        <v>280</v>
      </c>
      <c r="G41" s="3" t="s">
        <v>281</v>
      </c>
      <c r="H41" s="3" t="s">
        <v>11</v>
      </c>
      <c r="I41" s="4">
        <v>22.7272727272727</v>
      </c>
      <c r="J41" s="3" t="s">
        <v>29</v>
      </c>
      <c r="K41" s="3" t="s">
        <v>29</v>
      </c>
    </row>
    <row r="42" ht="54" customHeight="1" spans="1:11">
      <c r="A42" s="3" t="s">
        <v>212</v>
      </c>
      <c r="B42" s="3" t="s">
        <v>282</v>
      </c>
      <c r="C42" s="3" t="s">
        <v>283</v>
      </c>
      <c r="D42" s="3" t="s">
        <v>284</v>
      </c>
      <c r="E42" s="3" t="s">
        <v>92</v>
      </c>
      <c r="F42" s="3" t="s">
        <v>285</v>
      </c>
      <c r="G42" s="3" t="s">
        <v>286</v>
      </c>
      <c r="H42" s="3" t="s">
        <v>9</v>
      </c>
      <c r="I42" s="4">
        <v>102.272727272727</v>
      </c>
      <c r="J42" s="3" t="s">
        <v>29</v>
      </c>
      <c r="K42" s="3" t="s">
        <v>29</v>
      </c>
    </row>
    <row r="43" ht="54" customHeight="1" spans="1:11">
      <c r="A43" s="3" t="s">
        <v>212</v>
      </c>
      <c r="B43" s="3" t="s">
        <v>282</v>
      </c>
      <c r="C43" s="3" t="s">
        <v>287</v>
      </c>
      <c r="D43" s="3" t="s">
        <v>288</v>
      </c>
      <c r="E43" s="3" t="s">
        <v>116</v>
      </c>
      <c r="F43" s="3" t="s">
        <v>285</v>
      </c>
      <c r="G43" s="3" t="s">
        <v>289</v>
      </c>
      <c r="H43" s="3" t="s">
        <v>58</v>
      </c>
      <c r="I43" s="4">
        <v>53.4090909090909</v>
      </c>
      <c r="J43" s="3" t="s">
        <v>29</v>
      </c>
      <c r="K43" s="3" t="s">
        <v>29</v>
      </c>
    </row>
    <row r="44" ht="67.5" customHeight="1" spans="1:11">
      <c r="A44" s="3" t="s">
        <v>212</v>
      </c>
      <c r="B44" s="3" t="s">
        <v>282</v>
      </c>
      <c r="C44" s="3" t="s">
        <v>290</v>
      </c>
      <c r="D44" s="3" t="s">
        <v>291</v>
      </c>
      <c r="E44" s="3" t="s">
        <v>39</v>
      </c>
      <c r="F44" s="3" t="s">
        <v>292</v>
      </c>
      <c r="G44" s="3" t="s">
        <v>293</v>
      </c>
      <c r="H44" s="3" t="s">
        <v>11</v>
      </c>
      <c r="I44" s="4">
        <v>28.4090909090909</v>
      </c>
      <c r="J44" s="3" t="s">
        <v>29</v>
      </c>
      <c r="K44" s="3" t="s">
        <v>29</v>
      </c>
    </row>
    <row r="45" ht="67.5" customHeight="1" spans="1:11">
      <c r="A45" s="3" t="s">
        <v>212</v>
      </c>
      <c r="B45" s="3" t="s">
        <v>282</v>
      </c>
      <c r="C45" s="3" t="s">
        <v>294</v>
      </c>
      <c r="D45" s="3" t="s">
        <v>291</v>
      </c>
      <c r="E45" s="3" t="s">
        <v>116</v>
      </c>
      <c r="F45" s="3" t="s">
        <v>292</v>
      </c>
      <c r="G45" s="3" t="s">
        <v>295</v>
      </c>
      <c r="H45" s="3" t="s">
        <v>15</v>
      </c>
      <c r="I45" s="4">
        <v>45.4545454545455</v>
      </c>
      <c r="J45" s="3" t="s">
        <v>29</v>
      </c>
      <c r="K45" s="3" t="s">
        <v>29</v>
      </c>
    </row>
    <row r="46" ht="67.5" customHeight="1" spans="1:11">
      <c r="A46" s="3" t="s">
        <v>212</v>
      </c>
      <c r="B46" s="3" t="s">
        <v>282</v>
      </c>
      <c r="C46" s="3" t="s">
        <v>29</v>
      </c>
      <c r="D46" s="3" t="s">
        <v>296</v>
      </c>
      <c r="E46" s="3" t="s">
        <v>39</v>
      </c>
      <c r="F46" s="3" t="s">
        <v>297</v>
      </c>
      <c r="G46" s="3" t="s">
        <v>298</v>
      </c>
      <c r="H46" s="3" t="s">
        <v>52</v>
      </c>
      <c r="I46" s="4">
        <v>22.7272727272727</v>
      </c>
      <c r="J46" s="3" t="s">
        <v>29</v>
      </c>
      <c r="K46" s="3" t="s">
        <v>29</v>
      </c>
    </row>
    <row r="47" ht="40.5" customHeight="1" spans="1:11">
      <c r="A47" s="3" t="s">
        <v>212</v>
      </c>
      <c r="B47" s="3" t="s">
        <v>282</v>
      </c>
      <c r="C47" s="3" t="s">
        <v>299</v>
      </c>
      <c r="D47" s="3" t="s">
        <v>103</v>
      </c>
      <c r="E47" s="3" t="s">
        <v>8</v>
      </c>
      <c r="F47" s="3" t="s">
        <v>300</v>
      </c>
      <c r="G47" s="3" t="s">
        <v>301</v>
      </c>
      <c r="H47" s="3" t="s">
        <v>58</v>
      </c>
      <c r="I47" s="4">
        <v>68.1818181818182</v>
      </c>
      <c r="J47" s="3" t="s">
        <v>29</v>
      </c>
      <c r="K47" s="3" t="s">
        <v>29</v>
      </c>
    </row>
    <row r="48" ht="40.5" customHeight="1" spans="1:11">
      <c r="A48" s="3" t="s">
        <v>212</v>
      </c>
      <c r="B48" s="3" t="s">
        <v>282</v>
      </c>
      <c r="C48" s="3" t="s">
        <v>302</v>
      </c>
      <c r="D48" s="3" t="s">
        <v>103</v>
      </c>
      <c r="E48" s="3" t="s">
        <v>104</v>
      </c>
      <c r="F48" s="3" t="s">
        <v>303</v>
      </c>
      <c r="G48" s="3" t="s">
        <v>304</v>
      </c>
      <c r="H48" s="3" t="s">
        <v>44</v>
      </c>
      <c r="I48" s="4">
        <v>22.7</v>
      </c>
      <c r="J48" s="3" t="s">
        <v>29</v>
      </c>
      <c r="K48" s="3" t="s">
        <v>29</v>
      </c>
    </row>
    <row r="49" ht="40.5" spans="1:11">
      <c r="A49" s="3" t="s">
        <v>212</v>
      </c>
      <c r="B49" s="3" t="s">
        <v>282</v>
      </c>
      <c r="C49" s="3" t="s">
        <v>29</v>
      </c>
      <c r="D49" s="3" t="s">
        <v>305</v>
      </c>
      <c r="E49" s="3" t="s">
        <v>116</v>
      </c>
      <c r="F49" s="3" t="s">
        <v>306</v>
      </c>
      <c r="G49" s="3" t="s">
        <v>295</v>
      </c>
      <c r="H49" s="3" t="s">
        <v>15</v>
      </c>
      <c r="I49" s="4">
        <v>37.5</v>
      </c>
      <c r="J49" s="3" t="s">
        <v>29</v>
      </c>
      <c r="K49" s="3" t="s">
        <v>29</v>
      </c>
    </row>
    <row r="50" ht="40.5" customHeight="1" spans="1:11">
      <c r="A50" s="3" t="s">
        <v>212</v>
      </c>
      <c r="B50" s="3" t="s">
        <v>282</v>
      </c>
      <c r="C50" s="3" t="s">
        <v>105</v>
      </c>
      <c r="D50" s="3" t="s">
        <v>106</v>
      </c>
      <c r="E50" s="3" t="s">
        <v>116</v>
      </c>
      <c r="F50" s="3" t="s">
        <v>307</v>
      </c>
      <c r="G50" s="3" t="s">
        <v>308</v>
      </c>
      <c r="H50" s="3" t="s">
        <v>9</v>
      </c>
      <c r="I50" s="4">
        <v>56.8181818181818</v>
      </c>
      <c r="J50" s="3" t="s">
        <v>29</v>
      </c>
      <c r="K50" s="3" t="s">
        <v>29</v>
      </c>
    </row>
    <row r="51" ht="45" customHeight="1" spans="1:11">
      <c r="A51" s="5" t="s">
        <v>212</v>
      </c>
      <c r="B51" s="5" t="s">
        <v>29</v>
      </c>
      <c r="C51" s="5" t="s">
        <v>309</v>
      </c>
      <c r="D51" s="5" t="s">
        <v>67</v>
      </c>
      <c r="E51" s="8" t="s">
        <v>310</v>
      </c>
      <c r="F51" s="5" t="s">
        <v>311</v>
      </c>
      <c r="G51" s="5" t="s">
        <v>210</v>
      </c>
      <c r="H51" s="5" t="s">
        <v>211</v>
      </c>
      <c r="I51" s="6">
        <v>20.5</v>
      </c>
      <c r="J51" s="5" t="s">
        <v>29</v>
      </c>
      <c r="K51" s="5" t="s">
        <v>29</v>
      </c>
    </row>
    <row r="52" ht="54" customHeight="1" spans="1:11">
      <c r="A52" s="3" t="s">
        <v>312</v>
      </c>
      <c r="B52" s="3" t="s">
        <v>139</v>
      </c>
      <c r="C52" s="3" t="s">
        <v>29</v>
      </c>
      <c r="D52" s="3" t="s">
        <v>313</v>
      </c>
      <c r="E52" s="3" t="s">
        <v>8</v>
      </c>
      <c r="F52" s="3" t="s">
        <v>314</v>
      </c>
      <c r="G52" s="3" t="s">
        <v>315</v>
      </c>
      <c r="H52" s="3" t="s">
        <v>58</v>
      </c>
      <c r="I52" s="4">
        <v>28.4090909090909</v>
      </c>
      <c r="J52" s="3" t="s">
        <v>29</v>
      </c>
      <c r="K52" s="3" t="s">
        <v>29</v>
      </c>
    </row>
    <row r="53" ht="108" spans="1:11">
      <c r="A53" s="11" t="s">
        <v>312</v>
      </c>
      <c r="B53" s="11" t="s">
        <v>316</v>
      </c>
      <c r="C53" s="12" t="s">
        <v>317</v>
      </c>
      <c r="D53" s="11" t="s">
        <v>29</v>
      </c>
      <c r="E53" s="8" t="s">
        <v>318</v>
      </c>
      <c r="F53" s="11" t="s">
        <v>319</v>
      </c>
      <c r="G53" s="11" t="s">
        <v>320</v>
      </c>
      <c r="H53" s="11" t="s">
        <v>321</v>
      </c>
      <c r="I53" s="13">
        <v>45.5</v>
      </c>
      <c r="J53" s="5" t="s">
        <v>29</v>
      </c>
      <c r="K53" s="5" t="s">
        <v>29</v>
      </c>
    </row>
    <row r="54" ht="81" spans="1:11">
      <c r="A54" s="11" t="s">
        <v>312</v>
      </c>
      <c r="B54" s="5" t="s">
        <v>29</v>
      </c>
      <c r="C54" s="5" t="s">
        <v>74</v>
      </c>
      <c r="D54" s="5" t="s">
        <v>29</v>
      </c>
      <c r="E54" s="14" t="s">
        <v>318</v>
      </c>
      <c r="F54" s="5" t="s">
        <v>322</v>
      </c>
      <c r="G54" s="5" t="s">
        <v>323</v>
      </c>
      <c r="H54" s="5" t="s">
        <v>324</v>
      </c>
      <c r="I54" s="6">
        <v>45.5</v>
      </c>
      <c r="J54" s="5" t="s">
        <v>29</v>
      </c>
      <c r="K54" s="5" t="s">
        <v>29</v>
      </c>
    </row>
    <row r="55" ht="40.5" customHeight="1" spans="1:11">
      <c r="A55" s="3" t="s">
        <v>325</v>
      </c>
      <c r="B55" s="3" t="s">
        <v>29</v>
      </c>
      <c r="C55" s="3" t="s">
        <v>326</v>
      </c>
      <c r="D55" s="3" t="s">
        <v>327</v>
      </c>
      <c r="E55" s="3" t="s">
        <v>328</v>
      </c>
      <c r="F55" s="3" t="s">
        <v>329</v>
      </c>
      <c r="G55" s="3" t="s">
        <v>330</v>
      </c>
      <c r="H55" s="3" t="s">
        <v>9</v>
      </c>
      <c r="I55" s="4">
        <v>20.4545454545455</v>
      </c>
      <c r="J55" s="3" t="s">
        <v>131</v>
      </c>
      <c r="K55" s="3" t="s">
        <v>29</v>
      </c>
    </row>
    <row r="56" ht="40.5" customHeight="1" spans="1:11">
      <c r="A56" s="3" t="s">
        <v>325</v>
      </c>
      <c r="B56" s="3" t="s">
        <v>29</v>
      </c>
      <c r="C56" s="3" t="s">
        <v>331</v>
      </c>
      <c r="D56" s="3" t="s">
        <v>327</v>
      </c>
      <c r="E56" s="3" t="s">
        <v>104</v>
      </c>
      <c r="F56" s="3" t="s">
        <v>329</v>
      </c>
      <c r="G56" s="3" t="s">
        <v>330</v>
      </c>
      <c r="H56" s="3" t="s">
        <v>9</v>
      </c>
      <c r="I56" s="4">
        <v>20.4545454545455</v>
      </c>
      <c r="J56" s="3" t="s">
        <v>332</v>
      </c>
      <c r="K56" s="15">
        <v>0.88</v>
      </c>
    </row>
    <row r="57" ht="27" customHeight="1" spans="1:11">
      <c r="A57" s="3" t="s">
        <v>333</v>
      </c>
      <c r="B57" s="3" t="s">
        <v>334</v>
      </c>
      <c r="C57" s="3" t="s">
        <v>335</v>
      </c>
      <c r="D57" s="3" t="s">
        <v>336</v>
      </c>
      <c r="E57" s="3" t="s">
        <v>39</v>
      </c>
      <c r="F57" s="3" t="s">
        <v>337</v>
      </c>
      <c r="G57" s="3" t="s">
        <v>338</v>
      </c>
      <c r="H57" s="3" t="s">
        <v>339</v>
      </c>
      <c r="I57" s="4">
        <v>18.1818181818182</v>
      </c>
      <c r="J57" s="3" t="s">
        <v>29</v>
      </c>
      <c r="K57" s="3" t="s">
        <v>29</v>
      </c>
    </row>
    <row r="58" ht="40.5" customHeight="1" spans="1:11">
      <c r="A58" s="3" t="s">
        <v>340</v>
      </c>
      <c r="B58" s="3" t="s">
        <v>126</v>
      </c>
      <c r="C58" s="3" t="s">
        <v>108</v>
      </c>
      <c r="D58" s="3" t="s">
        <v>341</v>
      </c>
      <c r="E58" s="3" t="s">
        <v>92</v>
      </c>
      <c r="F58" s="3" t="s">
        <v>342</v>
      </c>
      <c r="G58" s="3" t="s">
        <v>142</v>
      </c>
      <c r="H58" s="3" t="s">
        <v>9</v>
      </c>
      <c r="I58" s="4">
        <v>90.9090909090909</v>
      </c>
      <c r="J58" s="3" t="s">
        <v>29</v>
      </c>
      <c r="K58" s="3" t="s">
        <v>29</v>
      </c>
    </row>
    <row r="59" ht="67.5" customHeight="1" spans="1:11">
      <c r="A59" s="3" t="s">
        <v>340</v>
      </c>
      <c r="B59" s="3" t="s">
        <v>29</v>
      </c>
      <c r="C59" s="3" t="s">
        <v>343</v>
      </c>
      <c r="D59" s="3" t="s">
        <v>344</v>
      </c>
      <c r="E59" s="3" t="s">
        <v>154</v>
      </c>
      <c r="F59" s="3" t="s">
        <v>345</v>
      </c>
      <c r="G59" s="3" t="s">
        <v>346</v>
      </c>
      <c r="H59" s="3" t="s">
        <v>15</v>
      </c>
      <c r="I59" s="4">
        <v>28.4090909090909</v>
      </c>
      <c r="J59" s="3" t="s">
        <v>29</v>
      </c>
      <c r="K59" s="3" t="s">
        <v>29</v>
      </c>
    </row>
    <row r="60" ht="40.5" customHeight="1" spans="1:11">
      <c r="A60" s="3" t="s">
        <v>340</v>
      </c>
      <c r="B60" s="3" t="s">
        <v>29</v>
      </c>
      <c r="C60" s="10" t="s">
        <v>111</v>
      </c>
      <c r="D60" s="3" t="s">
        <v>347</v>
      </c>
      <c r="E60" s="3" t="s">
        <v>10</v>
      </c>
      <c r="F60" s="3" t="s">
        <v>348</v>
      </c>
      <c r="G60" s="3" t="s">
        <v>349</v>
      </c>
      <c r="H60" s="3" t="s">
        <v>11</v>
      </c>
      <c r="I60" s="4">
        <v>11.3636363636364</v>
      </c>
      <c r="J60" s="3" t="s">
        <v>174</v>
      </c>
      <c r="K60" s="3" t="s">
        <v>29</v>
      </c>
    </row>
    <row r="61" ht="40.5" customHeight="1" spans="1:11">
      <c r="A61" s="3" t="s">
        <v>340</v>
      </c>
      <c r="B61" s="3" t="s">
        <v>29</v>
      </c>
      <c r="C61" s="10" t="s">
        <v>113</v>
      </c>
      <c r="D61" s="3" t="s">
        <v>347</v>
      </c>
      <c r="E61" s="3" t="s">
        <v>8</v>
      </c>
      <c r="F61" s="3" t="s">
        <v>348</v>
      </c>
      <c r="G61" s="3" t="s">
        <v>350</v>
      </c>
      <c r="H61" s="3" t="s">
        <v>28</v>
      </c>
      <c r="I61" s="4">
        <v>53.9772727272727</v>
      </c>
      <c r="J61" s="3" t="s">
        <v>174</v>
      </c>
      <c r="K61" s="3" t="s">
        <v>29</v>
      </c>
    </row>
    <row r="62" ht="27" customHeight="1" spans="1:11">
      <c r="A62" s="3" t="s">
        <v>351</v>
      </c>
      <c r="B62" s="3" t="s">
        <v>29</v>
      </c>
      <c r="C62" s="3" t="s">
        <v>352</v>
      </c>
      <c r="D62" s="3" t="s">
        <v>353</v>
      </c>
      <c r="E62" s="3" t="s">
        <v>104</v>
      </c>
      <c r="F62" s="3" t="s">
        <v>354</v>
      </c>
      <c r="G62" s="3" t="s">
        <v>355</v>
      </c>
      <c r="H62" s="3" t="s">
        <v>356</v>
      </c>
      <c r="I62" s="4">
        <v>56.8181818181818</v>
      </c>
      <c r="J62" s="3" t="s">
        <v>131</v>
      </c>
      <c r="K62" s="3" t="s">
        <v>217</v>
      </c>
    </row>
    <row r="63" ht="27" customHeight="1" spans="1:11">
      <c r="A63" s="3" t="s">
        <v>351</v>
      </c>
      <c r="B63" s="3" t="s">
        <v>29</v>
      </c>
      <c r="C63" s="3" t="s">
        <v>357</v>
      </c>
      <c r="D63" s="3" t="s">
        <v>358</v>
      </c>
      <c r="E63" s="3" t="s">
        <v>359</v>
      </c>
      <c r="F63" s="3" t="s">
        <v>360</v>
      </c>
      <c r="G63" s="3" t="s">
        <v>361</v>
      </c>
      <c r="H63" s="3" t="s">
        <v>15</v>
      </c>
      <c r="I63" s="4">
        <v>20.4545454545455</v>
      </c>
      <c r="J63" s="3" t="s">
        <v>131</v>
      </c>
      <c r="K63" s="3" t="s">
        <v>29</v>
      </c>
    </row>
    <row r="64" ht="40.5" customHeight="1" spans="1:11">
      <c r="A64" s="3" t="s">
        <v>351</v>
      </c>
      <c r="B64" s="3" t="s">
        <v>29</v>
      </c>
      <c r="C64" s="3" t="s">
        <v>29</v>
      </c>
      <c r="D64" s="3" t="s">
        <v>362</v>
      </c>
      <c r="E64" s="3" t="s">
        <v>39</v>
      </c>
      <c r="F64" s="3" t="s">
        <v>363</v>
      </c>
      <c r="G64" s="3" t="s">
        <v>364</v>
      </c>
      <c r="H64" s="3" t="s">
        <v>11</v>
      </c>
      <c r="I64" s="4">
        <v>15.9090909090909</v>
      </c>
      <c r="J64" s="3" t="s">
        <v>29</v>
      </c>
      <c r="K64" s="3" t="s">
        <v>29</v>
      </c>
    </row>
    <row r="65" ht="54" customHeight="1" spans="1:11">
      <c r="A65" s="3" t="s">
        <v>351</v>
      </c>
      <c r="B65" s="3" t="s">
        <v>365</v>
      </c>
      <c r="C65" s="3" t="s">
        <v>29</v>
      </c>
      <c r="D65" s="3" t="s">
        <v>366</v>
      </c>
      <c r="E65" s="3" t="s">
        <v>8</v>
      </c>
      <c r="F65" s="3" t="s">
        <v>367</v>
      </c>
      <c r="G65" s="3" t="s">
        <v>368</v>
      </c>
      <c r="H65" s="3" t="s">
        <v>223</v>
      </c>
      <c r="I65" s="4">
        <v>29.5454545454545</v>
      </c>
      <c r="J65" s="3" t="s">
        <v>29</v>
      </c>
      <c r="K65" s="3" t="s">
        <v>29</v>
      </c>
    </row>
    <row r="66" ht="40.5" customHeight="1" spans="1:11">
      <c r="A66" s="3" t="s">
        <v>369</v>
      </c>
      <c r="B66" s="3" t="s">
        <v>370</v>
      </c>
      <c r="C66" s="3" t="s">
        <v>29</v>
      </c>
      <c r="D66" s="3" t="s">
        <v>371</v>
      </c>
      <c r="E66" s="3" t="s">
        <v>116</v>
      </c>
      <c r="F66" s="3" t="s">
        <v>372</v>
      </c>
      <c r="G66" s="3" t="s">
        <v>373</v>
      </c>
      <c r="H66" s="3" t="s">
        <v>58</v>
      </c>
      <c r="I66" s="4">
        <v>40.9090909090909</v>
      </c>
      <c r="J66" s="3" t="s">
        <v>29</v>
      </c>
      <c r="K66" s="3" t="s">
        <v>29</v>
      </c>
    </row>
    <row r="67" ht="27" customHeight="1" spans="1:11">
      <c r="A67" s="3" t="s">
        <v>369</v>
      </c>
      <c r="B67" s="3" t="s">
        <v>374</v>
      </c>
      <c r="C67" s="3" t="s">
        <v>375</v>
      </c>
      <c r="D67" s="3" t="s">
        <v>376</v>
      </c>
      <c r="E67" s="3" t="s">
        <v>10</v>
      </c>
      <c r="F67" s="3" t="s">
        <v>377</v>
      </c>
      <c r="G67" s="3" t="s">
        <v>378</v>
      </c>
      <c r="H67" s="3" t="s">
        <v>11</v>
      </c>
      <c r="I67" s="4">
        <v>14.7727272727273</v>
      </c>
      <c r="J67" s="3" t="s">
        <v>29</v>
      </c>
      <c r="K67" s="3" t="s">
        <v>29</v>
      </c>
    </row>
    <row r="68" ht="67.5" customHeight="1" spans="1:11">
      <c r="A68" s="3" t="s">
        <v>379</v>
      </c>
      <c r="B68" s="3" t="s">
        <v>126</v>
      </c>
      <c r="C68" s="3" t="s">
        <v>29</v>
      </c>
      <c r="D68" s="3" t="s">
        <v>380</v>
      </c>
      <c r="E68" s="3" t="s">
        <v>381</v>
      </c>
      <c r="F68" s="3" t="s">
        <v>382</v>
      </c>
      <c r="G68" s="3" t="s">
        <v>383</v>
      </c>
      <c r="H68" s="3" t="s">
        <v>14</v>
      </c>
      <c r="I68" s="4">
        <v>5.68181818181818</v>
      </c>
      <c r="J68" s="3" t="s">
        <v>384</v>
      </c>
      <c r="K68" s="3" t="s">
        <v>29</v>
      </c>
    </row>
    <row r="69" ht="67.5" customHeight="1" spans="1:11">
      <c r="A69" s="3" t="s">
        <v>379</v>
      </c>
      <c r="B69" s="3" t="s">
        <v>126</v>
      </c>
      <c r="C69" s="3" t="s">
        <v>29</v>
      </c>
      <c r="D69" s="3" t="s">
        <v>385</v>
      </c>
      <c r="E69" s="3" t="s">
        <v>386</v>
      </c>
      <c r="F69" s="3" t="s">
        <v>382</v>
      </c>
      <c r="G69" s="3" t="s">
        <v>383</v>
      </c>
      <c r="H69" s="3" t="s">
        <v>14</v>
      </c>
      <c r="I69" s="4">
        <v>5.68181818181818</v>
      </c>
      <c r="J69" s="3" t="s">
        <v>131</v>
      </c>
      <c r="K69" s="3" t="s">
        <v>29</v>
      </c>
    </row>
    <row r="70" ht="40.5" customHeight="1" spans="1:11">
      <c r="A70" s="3" t="s">
        <v>387</v>
      </c>
      <c r="B70" s="3" t="s">
        <v>126</v>
      </c>
      <c r="C70" s="3" t="s">
        <v>388</v>
      </c>
      <c r="D70" s="3" t="s">
        <v>389</v>
      </c>
      <c r="E70" s="3" t="s">
        <v>359</v>
      </c>
      <c r="F70" s="3" t="s">
        <v>390</v>
      </c>
      <c r="G70" s="3" t="s">
        <v>391</v>
      </c>
      <c r="H70" s="3" t="s">
        <v>392</v>
      </c>
      <c r="I70" s="4">
        <v>12.5</v>
      </c>
      <c r="J70" s="3" t="s">
        <v>131</v>
      </c>
      <c r="K70" s="3" t="s">
        <v>29</v>
      </c>
    </row>
    <row r="71" ht="43" customHeight="1" spans="1:11">
      <c r="A71" s="3" t="s">
        <v>393</v>
      </c>
      <c r="B71" s="3" t="s">
        <v>394</v>
      </c>
      <c r="C71" s="3" t="s">
        <v>395</v>
      </c>
      <c r="D71" s="3" t="s">
        <v>29</v>
      </c>
      <c r="E71" s="3" t="s">
        <v>8</v>
      </c>
      <c r="F71" s="3" t="s">
        <v>396</v>
      </c>
      <c r="G71" s="3" t="s">
        <v>397</v>
      </c>
      <c r="H71" s="3" t="s">
        <v>58</v>
      </c>
      <c r="I71" s="4">
        <v>11.3636363636364</v>
      </c>
      <c r="J71" s="3" t="s">
        <v>29</v>
      </c>
      <c r="K71" s="3" t="s">
        <v>29</v>
      </c>
    </row>
    <row r="72" ht="81" customHeight="1" spans="1:11">
      <c r="A72" s="3" t="s">
        <v>393</v>
      </c>
      <c r="B72" s="3" t="s">
        <v>394</v>
      </c>
      <c r="C72" s="3" t="s">
        <v>29</v>
      </c>
      <c r="D72" s="3" t="s">
        <v>398</v>
      </c>
      <c r="E72" s="3" t="s">
        <v>39</v>
      </c>
      <c r="F72" s="3" t="s">
        <v>399</v>
      </c>
      <c r="G72" s="3" t="s">
        <v>400</v>
      </c>
      <c r="H72" s="3" t="s">
        <v>58</v>
      </c>
      <c r="I72" s="4">
        <v>17.0454545454545</v>
      </c>
      <c r="J72" s="3" t="s">
        <v>29</v>
      </c>
      <c r="K72" s="3" t="s">
        <v>29</v>
      </c>
    </row>
    <row r="73" ht="35" customHeight="1" spans="1:11">
      <c r="A73" s="3" t="s">
        <v>401</v>
      </c>
      <c r="B73" s="3" t="s">
        <v>402</v>
      </c>
      <c r="C73" s="3" t="s">
        <v>29</v>
      </c>
      <c r="D73" s="3" t="s">
        <v>403</v>
      </c>
      <c r="E73" s="3" t="s">
        <v>116</v>
      </c>
      <c r="F73" s="3" t="s">
        <v>404</v>
      </c>
      <c r="G73" s="3" t="s">
        <v>405</v>
      </c>
      <c r="H73" s="3" t="s">
        <v>28</v>
      </c>
      <c r="I73" s="4">
        <v>12.5</v>
      </c>
      <c r="J73" s="3" t="s">
        <v>174</v>
      </c>
      <c r="K73" s="3" t="s">
        <v>29</v>
      </c>
    </row>
    <row r="74" ht="40.5" customHeight="1" spans="1:11">
      <c r="A74" s="3" t="s">
        <v>401</v>
      </c>
      <c r="B74" s="3" t="s">
        <v>406</v>
      </c>
      <c r="C74" s="3" t="s">
        <v>29</v>
      </c>
      <c r="D74" s="3" t="s">
        <v>407</v>
      </c>
      <c r="E74" s="3" t="s">
        <v>408</v>
      </c>
      <c r="F74" s="3" t="s">
        <v>409</v>
      </c>
      <c r="G74" s="3" t="s">
        <v>410</v>
      </c>
      <c r="H74" s="3" t="s">
        <v>411</v>
      </c>
      <c r="I74" s="4">
        <v>9.09090909090909</v>
      </c>
      <c r="J74" s="3" t="s">
        <v>174</v>
      </c>
      <c r="K74" s="3" t="s">
        <v>29</v>
      </c>
    </row>
    <row r="75" ht="67.5" customHeight="1" spans="1:11">
      <c r="A75" s="3" t="s">
        <v>401</v>
      </c>
      <c r="B75" s="3" t="s">
        <v>412</v>
      </c>
      <c r="C75" s="3" t="s">
        <v>29</v>
      </c>
      <c r="D75" s="3" t="s">
        <v>413</v>
      </c>
      <c r="E75" s="3" t="s">
        <v>154</v>
      </c>
      <c r="F75" s="3" t="s">
        <v>414</v>
      </c>
      <c r="G75" s="3" t="s">
        <v>415</v>
      </c>
      <c r="H75" s="3" t="s">
        <v>416</v>
      </c>
      <c r="I75" s="4">
        <v>17.0454545454545</v>
      </c>
      <c r="J75" s="3" t="s">
        <v>131</v>
      </c>
      <c r="K75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底价目录_20260112</vt:lpstr>
      <vt:lpstr>明星产品_20260512</vt:lpstr>
      <vt:lpstr>产品信息_华英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曾范琦</cp:lastModifiedBy>
  <dcterms:created xsi:type="dcterms:W3CDTF">2026-05-14T08:01:00Z</dcterms:created>
  <dcterms:modified xsi:type="dcterms:W3CDTF">2026-07-02T02:20:21Z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952AC04A4DFB461F8C884881582AD3A5_12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